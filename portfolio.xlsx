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Space\backTest\"/>
    </mc:Choice>
  </mc:AlternateContent>
  <bookViews>
    <workbookView xWindow="240" yWindow="15" windowWidth="16095" windowHeight="9660"/>
  </bookViews>
  <sheets>
    <sheet name="Sheet1" sheetId="1" r:id="rId1"/>
    <sheet name="check" sheetId="2" r:id="rId2"/>
    <sheet name="평균모멘텀" sheetId="3" r:id="rId3"/>
  </sheets>
  <calcPr calcId="162913"/>
</workbook>
</file>

<file path=xl/calcChain.xml><?xml version="1.0" encoding="utf-8"?>
<calcChain xmlns="http://schemas.openxmlformats.org/spreadsheetml/2006/main">
  <c r="N15" i="3" l="1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4" i="3"/>
  <c r="H15" i="3"/>
  <c r="I15" i="3"/>
  <c r="J15" i="3"/>
  <c r="H16" i="3"/>
  <c r="I16" i="3"/>
  <c r="J16" i="3"/>
  <c r="H17" i="3"/>
  <c r="I17" i="3"/>
  <c r="M17" i="3" s="1"/>
  <c r="J17" i="3"/>
  <c r="H18" i="3"/>
  <c r="I18" i="3"/>
  <c r="J18" i="3"/>
  <c r="H19" i="3"/>
  <c r="I19" i="3"/>
  <c r="J19" i="3"/>
  <c r="H20" i="3"/>
  <c r="K20" i="3" s="1"/>
  <c r="I20" i="3"/>
  <c r="J20" i="3"/>
  <c r="H21" i="3"/>
  <c r="I21" i="3"/>
  <c r="J21" i="3"/>
  <c r="H22" i="3"/>
  <c r="I22" i="3"/>
  <c r="J22" i="3"/>
  <c r="M22" i="3" s="1"/>
  <c r="H23" i="3"/>
  <c r="I23" i="3"/>
  <c r="J23" i="3"/>
  <c r="H24" i="3"/>
  <c r="I24" i="3"/>
  <c r="J24" i="3"/>
  <c r="H25" i="3"/>
  <c r="I25" i="3"/>
  <c r="K25" i="3" s="1"/>
  <c r="J25" i="3"/>
  <c r="H26" i="3"/>
  <c r="I26" i="3"/>
  <c r="J26" i="3"/>
  <c r="H27" i="3"/>
  <c r="I27" i="3"/>
  <c r="J27" i="3"/>
  <c r="H28" i="3"/>
  <c r="K28" i="3" s="1"/>
  <c r="I28" i="3"/>
  <c r="J28" i="3"/>
  <c r="H29" i="3"/>
  <c r="I29" i="3"/>
  <c r="J29" i="3"/>
  <c r="H30" i="3"/>
  <c r="I30" i="3"/>
  <c r="J30" i="3"/>
  <c r="L30" i="3" s="1"/>
  <c r="H31" i="3"/>
  <c r="I31" i="3"/>
  <c r="J31" i="3"/>
  <c r="H32" i="3"/>
  <c r="I32" i="3"/>
  <c r="J32" i="3"/>
  <c r="H33" i="3"/>
  <c r="I33" i="3"/>
  <c r="K33" i="3" s="1"/>
  <c r="J33" i="3"/>
  <c r="H34" i="3"/>
  <c r="I34" i="3"/>
  <c r="J34" i="3"/>
  <c r="H35" i="3"/>
  <c r="I35" i="3"/>
  <c r="J35" i="3"/>
  <c r="H36" i="3"/>
  <c r="M36" i="3" s="1"/>
  <c r="I36" i="3"/>
  <c r="J36" i="3"/>
  <c r="H37" i="3"/>
  <c r="I37" i="3"/>
  <c r="J37" i="3"/>
  <c r="H38" i="3"/>
  <c r="I38" i="3"/>
  <c r="J38" i="3"/>
  <c r="H39" i="3"/>
  <c r="I39" i="3"/>
  <c r="J39" i="3"/>
  <c r="H40" i="3"/>
  <c r="I40" i="3"/>
  <c r="J40" i="3"/>
  <c r="H41" i="3"/>
  <c r="I41" i="3"/>
  <c r="J41" i="3"/>
  <c r="H42" i="3"/>
  <c r="I42" i="3"/>
  <c r="J42" i="3"/>
  <c r="H43" i="3"/>
  <c r="I43" i="3"/>
  <c r="J43" i="3"/>
  <c r="H44" i="3"/>
  <c r="K44" i="3" s="1"/>
  <c r="I44" i="3"/>
  <c r="J44" i="3"/>
  <c r="H45" i="3"/>
  <c r="I45" i="3"/>
  <c r="J45" i="3"/>
  <c r="H46" i="3"/>
  <c r="I46" i="3"/>
  <c r="J46" i="3"/>
  <c r="L46" i="3" s="1"/>
  <c r="H47" i="3"/>
  <c r="I47" i="3"/>
  <c r="J47" i="3"/>
  <c r="H48" i="3"/>
  <c r="I48" i="3"/>
  <c r="J48" i="3"/>
  <c r="H49" i="3"/>
  <c r="I49" i="3"/>
  <c r="M49" i="3" s="1"/>
  <c r="J49" i="3"/>
  <c r="H50" i="3"/>
  <c r="I50" i="3"/>
  <c r="J50" i="3"/>
  <c r="H51" i="3"/>
  <c r="I51" i="3"/>
  <c r="J51" i="3"/>
  <c r="H52" i="3"/>
  <c r="K52" i="3" s="1"/>
  <c r="I52" i="3"/>
  <c r="J52" i="3"/>
  <c r="H53" i="3"/>
  <c r="I53" i="3"/>
  <c r="J53" i="3"/>
  <c r="H54" i="3"/>
  <c r="I54" i="3"/>
  <c r="J54" i="3"/>
  <c r="K54" i="3" s="1"/>
  <c r="H55" i="3"/>
  <c r="I55" i="3"/>
  <c r="J55" i="3"/>
  <c r="H56" i="3"/>
  <c r="I56" i="3"/>
  <c r="J56" i="3"/>
  <c r="H57" i="3"/>
  <c r="I57" i="3"/>
  <c r="J57" i="3"/>
  <c r="H58" i="3"/>
  <c r="I58" i="3"/>
  <c r="J58" i="3"/>
  <c r="H59" i="3"/>
  <c r="I59" i="3"/>
  <c r="J59" i="3"/>
  <c r="H60" i="3"/>
  <c r="M60" i="3" s="1"/>
  <c r="I60" i="3"/>
  <c r="J60" i="3"/>
  <c r="H61" i="3"/>
  <c r="I61" i="3"/>
  <c r="J61" i="3"/>
  <c r="H62" i="3"/>
  <c r="I62" i="3"/>
  <c r="J62" i="3"/>
  <c r="M62" i="3" s="1"/>
  <c r="H63" i="3"/>
  <c r="I63" i="3"/>
  <c r="J63" i="3"/>
  <c r="H64" i="3"/>
  <c r="I64" i="3"/>
  <c r="J64" i="3"/>
  <c r="H65" i="3"/>
  <c r="I65" i="3"/>
  <c r="L65" i="3" s="1"/>
  <c r="J65" i="3"/>
  <c r="H66" i="3"/>
  <c r="I66" i="3"/>
  <c r="J66" i="3"/>
  <c r="H67" i="3"/>
  <c r="I67" i="3"/>
  <c r="J67" i="3"/>
  <c r="H68" i="3"/>
  <c r="M68" i="3" s="1"/>
  <c r="I68" i="3"/>
  <c r="J68" i="3"/>
  <c r="H69" i="3"/>
  <c r="I69" i="3"/>
  <c r="J69" i="3"/>
  <c r="H70" i="3"/>
  <c r="I70" i="3"/>
  <c r="J70" i="3"/>
  <c r="K70" i="3" s="1"/>
  <c r="H71" i="3"/>
  <c r="I71" i="3"/>
  <c r="J71" i="3"/>
  <c r="H72" i="3"/>
  <c r="I72" i="3"/>
  <c r="J72" i="3"/>
  <c r="H73" i="3"/>
  <c r="I73" i="3"/>
  <c r="J73" i="3"/>
  <c r="H74" i="3"/>
  <c r="I74" i="3"/>
  <c r="J74" i="3"/>
  <c r="H75" i="3"/>
  <c r="I75" i="3"/>
  <c r="J75" i="3"/>
  <c r="H76" i="3"/>
  <c r="M76" i="3" s="1"/>
  <c r="I76" i="3"/>
  <c r="J76" i="3"/>
  <c r="H77" i="3"/>
  <c r="I77" i="3"/>
  <c r="J77" i="3"/>
  <c r="H78" i="3"/>
  <c r="I78" i="3"/>
  <c r="J78" i="3"/>
  <c r="K78" i="3" s="1"/>
  <c r="H79" i="3"/>
  <c r="I79" i="3"/>
  <c r="J79" i="3"/>
  <c r="H80" i="3"/>
  <c r="I80" i="3"/>
  <c r="J80" i="3"/>
  <c r="H81" i="3"/>
  <c r="I81" i="3"/>
  <c r="L81" i="3" s="1"/>
  <c r="J81" i="3"/>
  <c r="H82" i="3"/>
  <c r="I82" i="3"/>
  <c r="J82" i="3"/>
  <c r="H83" i="3"/>
  <c r="I83" i="3"/>
  <c r="J83" i="3"/>
  <c r="H84" i="3"/>
  <c r="K84" i="3" s="1"/>
  <c r="I84" i="3"/>
  <c r="J84" i="3"/>
  <c r="H85" i="3"/>
  <c r="I85" i="3"/>
  <c r="J85" i="3"/>
  <c r="H86" i="3"/>
  <c r="I86" i="3"/>
  <c r="J86" i="3"/>
  <c r="K86" i="3" s="1"/>
  <c r="H87" i="3"/>
  <c r="I87" i="3"/>
  <c r="J87" i="3"/>
  <c r="H88" i="3"/>
  <c r="I88" i="3"/>
  <c r="J88" i="3"/>
  <c r="H89" i="3"/>
  <c r="I89" i="3"/>
  <c r="M89" i="3" s="1"/>
  <c r="J89" i="3"/>
  <c r="H90" i="3"/>
  <c r="I90" i="3"/>
  <c r="J90" i="3"/>
  <c r="H91" i="3"/>
  <c r="I91" i="3"/>
  <c r="J91" i="3"/>
  <c r="H92" i="3"/>
  <c r="K92" i="3" s="1"/>
  <c r="I92" i="3"/>
  <c r="J92" i="3"/>
  <c r="H93" i="3"/>
  <c r="I93" i="3"/>
  <c r="J93" i="3"/>
  <c r="H94" i="3"/>
  <c r="I94" i="3"/>
  <c r="J94" i="3"/>
  <c r="K94" i="3" s="1"/>
  <c r="H95" i="3"/>
  <c r="I95" i="3"/>
  <c r="J95" i="3"/>
  <c r="H96" i="3"/>
  <c r="I96" i="3"/>
  <c r="J96" i="3"/>
  <c r="H97" i="3"/>
  <c r="I97" i="3"/>
  <c r="L97" i="3" s="1"/>
  <c r="J97" i="3"/>
  <c r="H98" i="3"/>
  <c r="I98" i="3"/>
  <c r="J98" i="3"/>
  <c r="H99" i="3"/>
  <c r="I99" i="3"/>
  <c r="J99" i="3"/>
  <c r="H100" i="3"/>
  <c r="M100" i="3" s="1"/>
  <c r="I100" i="3"/>
  <c r="J100" i="3"/>
  <c r="H101" i="3"/>
  <c r="I101" i="3"/>
  <c r="J101" i="3"/>
  <c r="H102" i="3"/>
  <c r="I102" i="3"/>
  <c r="J102" i="3"/>
  <c r="H103" i="3"/>
  <c r="I103" i="3"/>
  <c r="J103" i="3"/>
  <c r="H104" i="3"/>
  <c r="I104" i="3"/>
  <c r="J104" i="3"/>
  <c r="H105" i="3"/>
  <c r="I105" i="3"/>
  <c r="L105" i="3" s="1"/>
  <c r="J105" i="3"/>
  <c r="H106" i="3"/>
  <c r="I106" i="3"/>
  <c r="J106" i="3"/>
  <c r="H107" i="3"/>
  <c r="I107" i="3"/>
  <c r="J107" i="3"/>
  <c r="H108" i="3"/>
  <c r="M108" i="3" s="1"/>
  <c r="I108" i="3"/>
  <c r="J108" i="3"/>
  <c r="H109" i="3"/>
  <c r="I109" i="3"/>
  <c r="J109" i="3"/>
  <c r="H110" i="3"/>
  <c r="I110" i="3"/>
  <c r="J110" i="3"/>
  <c r="L110" i="3" s="1"/>
  <c r="H111" i="3"/>
  <c r="I111" i="3"/>
  <c r="J111" i="3"/>
  <c r="H112" i="3"/>
  <c r="I112" i="3"/>
  <c r="J112" i="3"/>
  <c r="H113" i="3"/>
  <c r="I113" i="3"/>
  <c r="M113" i="3" s="1"/>
  <c r="J113" i="3"/>
  <c r="H114" i="3"/>
  <c r="I114" i="3"/>
  <c r="J114" i="3"/>
  <c r="H115" i="3"/>
  <c r="I115" i="3"/>
  <c r="J115" i="3"/>
  <c r="H116" i="3"/>
  <c r="M116" i="3" s="1"/>
  <c r="I116" i="3"/>
  <c r="J116" i="3"/>
  <c r="H117" i="3"/>
  <c r="I117" i="3"/>
  <c r="J117" i="3"/>
  <c r="H118" i="3"/>
  <c r="I118" i="3"/>
  <c r="J118" i="3"/>
  <c r="K118" i="3" s="1"/>
  <c r="H119" i="3"/>
  <c r="I119" i="3"/>
  <c r="J119" i="3"/>
  <c r="H120" i="3"/>
  <c r="I120" i="3"/>
  <c r="J120" i="3"/>
  <c r="H121" i="3"/>
  <c r="I121" i="3"/>
  <c r="L121" i="3" s="1"/>
  <c r="J121" i="3"/>
  <c r="H122" i="3"/>
  <c r="I122" i="3"/>
  <c r="J122" i="3"/>
  <c r="H123" i="3"/>
  <c r="I123" i="3"/>
  <c r="J123" i="3"/>
  <c r="H124" i="3"/>
  <c r="M124" i="3" s="1"/>
  <c r="I124" i="3"/>
  <c r="J124" i="3"/>
  <c r="H125" i="3"/>
  <c r="I125" i="3"/>
  <c r="J125" i="3"/>
  <c r="H126" i="3"/>
  <c r="I126" i="3"/>
  <c r="J126" i="3"/>
  <c r="L126" i="3" s="1"/>
  <c r="H127" i="3"/>
  <c r="I127" i="3"/>
  <c r="J127" i="3"/>
  <c r="H128" i="3"/>
  <c r="I128" i="3"/>
  <c r="J128" i="3"/>
  <c r="H129" i="3"/>
  <c r="I129" i="3"/>
  <c r="L129" i="3" s="1"/>
  <c r="J129" i="3"/>
  <c r="H130" i="3"/>
  <c r="I130" i="3"/>
  <c r="J130" i="3"/>
  <c r="H131" i="3"/>
  <c r="I131" i="3"/>
  <c r="J131" i="3"/>
  <c r="H132" i="3"/>
  <c r="K132" i="3" s="1"/>
  <c r="I132" i="3"/>
  <c r="J132" i="3"/>
  <c r="H133" i="3"/>
  <c r="I133" i="3"/>
  <c r="J133" i="3"/>
  <c r="H134" i="3"/>
  <c r="I134" i="3"/>
  <c r="J134" i="3"/>
  <c r="L134" i="3" s="1"/>
  <c r="H135" i="3"/>
  <c r="I135" i="3"/>
  <c r="J135" i="3"/>
  <c r="H136" i="3"/>
  <c r="I136" i="3"/>
  <c r="J136" i="3"/>
  <c r="H137" i="3"/>
  <c r="I137" i="3"/>
  <c r="M137" i="3" s="1"/>
  <c r="J137" i="3"/>
  <c r="H138" i="3"/>
  <c r="I138" i="3"/>
  <c r="J138" i="3"/>
  <c r="H139" i="3"/>
  <c r="I139" i="3"/>
  <c r="J139" i="3"/>
  <c r="H140" i="3"/>
  <c r="M140" i="3" s="1"/>
  <c r="I140" i="3"/>
  <c r="J140" i="3"/>
  <c r="H141" i="3"/>
  <c r="I141" i="3"/>
  <c r="J141" i="3"/>
  <c r="H142" i="3"/>
  <c r="I142" i="3"/>
  <c r="J142" i="3"/>
  <c r="K142" i="3" s="1"/>
  <c r="H143" i="3"/>
  <c r="I143" i="3"/>
  <c r="K143" i="3" s="1"/>
  <c r="J143" i="3"/>
  <c r="H144" i="3"/>
  <c r="I144" i="3"/>
  <c r="J144" i="3"/>
  <c r="H145" i="3"/>
  <c r="I145" i="3"/>
  <c r="K145" i="3" s="1"/>
  <c r="J145" i="3"/>
  <c r="H146" i="3"/>
  <c r="M146" i="3" s="1"/>
  <c r="I146" i="3"/>
  <c r="J146" i="3"/>
  <c r="H147" i="3"/>
  <c r="I147" i="3"/>
  <c r="J147" i="3"/>
  <c r="L147" i="3" s="1"/>
  <c r="H148" i="3"/>
  <c r="K148" i="3" s="1"/>
  <c r="I148" i="3"/>
  <c r="J148" i="3"/>
  <c r="M148" i="3" s="1"/>
  <c r="H149" i="3"/>
  <c r="I149" i="3"/>
  <c r="L149" i="3" s="1"/>
  <c r="J149" i="3"/>
  <c r="H150" i="3"/>
  <c r="I150" i="3"/>
  <c r="L150" i="3" s="1"/>
  <c r="J150" i="3"/>
  <c r="H151" i="3"/>
  <c r="M151" i="3" s="1"/>
  <c r="I151" i="3"/>
  <c r="L151" i="3" s="1"/>
  <c r="J151" i="3"/>
  <c r="H152" i="3"/>
  <c r="I152" i="3"/>
  <c r="J152" i="3"/>
  <c r="H153" i="3"/>
  <c r="I153" i="3"/>
  <c r="L153" i="3" s="1"/>
  <c r="J153" i="3"/>
  <c r="M153" i="3" s="1"/>
  <c r="I14" i="3"/>
  <c r="J14" i="3"/>
  <c r="H14" i="3"/>
  <c r="G153" i="3"/>
  <c r="F153" i="3"/>
  <c r="E153" i="3"/>
  <c r="M152" i="3"/>
  <c r="G152" i="3"/>
  <c r="F152" i="3"/>
  <c r="E152" i="3"/>
  <c r="K151" i="3"/>
  <c r="G151" i="3"/>
  <c r="F151" i="3"/>
  <c r="E151" i="3"/>
  <c r="G150" i="3"/>
  <c r="F150" i="3"/>
  <c r="E150" i="3"/>
  <c r="K149" i="3"/>
  <c r="M149" i="3"/>
  <c r="G149" i="3"/>
  <c r="F149" i="3"/>
  <c r="E149" i="3"/>
  <c r="G148" i="3"/>
  <c r="F148" i="3"/>
  <c r="E148" i="3"/>
  <c r="G147" i="3"/>
  <c r="F147" i="3"/>
  <c r="E147" i="3"/>
  <c r="L146" i="3"/>
  <c r="K146" i="3"/>
  <c r="G146" i="3"/>
  <c r="F146" i="3"/>
  <c r="E146" i="3"/>
  <c r="G145" i="3"/>
  <c r="F145" i="3"/>
  <c r="E145" i="3"/>
  <c r="M144" i="3"/>
  <c r="G144" i="3"/>
  <c r="F144" i="3"/>
  <c r="E144" i="3"/>
  <c r="M143" i="3"/>
  <c r="L143" i="3"/>
  <c r="G143" i="3"/>
  <c r="F143" i="3"/>
  <c r="E143" i="3"/>
  <c r="G142" i="3"/>
  <c r="F142" i="3"/>
  <c r="E142" i="3"/>
  <c r="K141" i="3"/>
  <c r="M141" i="3"/>
  <c r="L141" i="3"/>
  <c r="G141" i="3"/>
  <c r="F141" i="3"/>
  <c r="E141" i="3"/>
  <c r="G140" i="3"/>
  <c r="F140" i="3"/>
  <c r="E140" i="3"/>
  <c r="M139" i="3"/>
  <c r="L139" i="3"/>
  <c r="G139" i="3"/>
  <c r="F139" i="3"/>
  <c r="E139" i="3"/>
  <c r="L138" i="3"/>
  <c r="K138" i="3"/>
  <c r="M138" i="3"/>
  <c r="G138" i="3"/>
  <c r="F138" i="3"/>
  <c r="E138" i="3"/>
  <c r="G137" i="3"/>
  <c r="F137" i="3"/>
  <c r="E137" i="3"/>
  <c r="M136" i="3"/>
  <c r="K136" i="3"/>
  <c r="G136" i="3"/>
  <c r="F136" i="3"/>
  <c r="E136" i="3"/>
  <c r="M135" i="3"/>
  <c r="L135" i="3"/>
  <c r="K135" i="3"/>
  <c r="G135" i="3"/>
  <c r="F135" i="3"/>
  <c r="E135" i="3"/>
  <c r="G134" i="3"/>
  <c r="F134" i="3"/>
  <c r="E134" i="3"/>
  <c r="K133" i="3"/>
  <c r="M133" i="3"/>
  <c r="L133" i="3"/>
  <c r="G133" i="3"/>
  <c r="F133" i="3"/>
  <c r="E133" i="3"/>
  <c r="L132" i="3"/>
  <c r="G132" i="3"/>
  <c r="F132" i="3"/>
  <c r="E132" i="3"/>
  <c r="L131" i="3"/>
  <c r="G131" i="3"/>
  <c r="F131" i="3"/>
  <c r="E131" i="3"/>
  <c r="M130" i="3"/>
  <c r="L130" i="3"/>
  <c r="K130" i="3"/>
  <c r="G130" i="3"/>
  <c r="F130" i="3"/>
  <c r="E130" i="3"/>
  <c r="M129" i="3"/>
  <c r="G129" i="3"/>
  <c r="F129" i="3"/>
  <c r="E129" i="3"/>
  <c r="G128" i="3"/>
  <c r="F128" i="3"/>
  <c r="E128" i="3"/>
  <c r="M127" i="3"/>
  <c r="L127" i="3"/>
  <c r="G127" i="3"/>
  <c r="F127" i="3"/>
  <c r="E127" i="3"/>
  <c r="G126" i="3"/>
  <c r="F126" i="3"/>
  <c r="E126" i="3"/>
  <c r="L125" i="3"/>
  <c r="K125" i="3"/>
  <c r="M125" i="3"/>
  <c r="G125" i="3"/>
  <c r="F125" i="3"/>
  <c r="E125" i="3"/>
  <c r="K124" i="3"/>
  <c r="G124" i="3"/>
  <c r="F124" i="3"/>
  <c r="E124" i="3"/>
  <c r="L123" i="3"/>
  <c r="K123" i="3"/>
  <c r="G123" i="3"/>
  <c r="F123" i="3"/>
  <c r="E123" i="3"/>
  <c r="M122" i="3"/>
  <c r="L122" i="3"/>
  <c r="K122" i="3"/>
  <c r="G122" i="3"/>
  <c r="F122" i="3"/>
  <c r="E122" i="3"/>
  <c r="M121" i="3"/>
  <c r="G121" i="3"/>
  <c r="F121" i="3"/>
  <c r="E121" i="3"/>
  <c r="L120" i="3"/>
  <c r="G120" i="3"/>
  <c r="F120" i="3"/>
  <c r="E120" i="3"/>
  <c r="M119" i="3"/>
  <c r="L119" i="3"/>
  <c r="G119" i="3"/>
  <c r="F119" i="3"/>
  <c r="E119" i="3"/>
  <c r="G118" i="3"/>
  <c r="F118" i="3"/>
  <c r="E118" i="3"/>
  <c r="L117" i="3"/>
  <c r="K117" i="3"/>
  <c r="M117" i="3"/>
  <c r="G117" i="3"/>
  <c r="F117" i="3"/>
  <c r="E117" i="3"/>
  <c r="K116" i="3"/>
  <c r="G116" i="3"/>
  <c r="F116" i="3"/>
  <c r="E116" i="3"/>
  <c r="M115" i="3"/>
  <c r="L115" i="3"/>
  <c r="K115" i="3"/>
  <c r="G115" i="3"/>
  <c r="F115" i="3"/>
  <c r="E115" i="3"/>
  <c r="M114" i="3"/>
  <c r="L114" i="3"/>
  <c r="K114" i="3"/>
  <c r="G114" i="3"/>
  <c r="F114" i="3"/>
  <c r="E114" i="3"/>
  <c r="L113" i="3"/>
  <c r="G113" i="3"/>
  <c r="F113" i="3"/>
  <c r="E113" i="3"/>
  <c r="L112" i="3"/>
  <c r="G112" i="3"/>
  <c r="F112" i="3"/>
  <c r="E112" i="3"/>
  <c r="M111" i="3"/>
  <c r="L111" i="3"/>
  <c r="G111" i="3"/>
  <c r="F111" i="3"/>
  <c r="E111" i="3"/>
  <c r="K110" i="3"/>
  <c r="G110" i="3"/>
  <c r="F110" i="3"/>
  <c r="E110" i="3"/>
  <c r="L109" i="3"/>
  <c r="K109" i="3"/>
  <c r="M109" i="3"/>
  <c r="G109" i="3"/>
  <c r="F109" i="3"/>
  <c r="E109" i="3"/>
  <c r="G108" i="3"/>
  <c r="F108" i="3"/>
  <c r="E108" i="3"/>
  <c r="M107" i="3"/>
  <c r="L107" i="3"/>
  <c r="G107" i="3"/>
  <c r="F107" i="3"/>
  <c r="E107" i="3"/>
  <c r="M106" i="3"/>
  <c r="L106" i="3"/>
  <c r="K106" i="3"/>
  <c r="G106" i="3"/>
  <c r="F106" i="3"/>
  <c r="E106" i="3"/>
  <c r="G105" i="3"/>
  <c r="F105" i="3"/>
  <c r="E105" i="3"/>
  <c r="L104" i="3"/>
  <c r="G104" i="3"/>
  <c r="F104" i="3"/>
  <c r="E104" i="3"/>
  <c r="M103" i="3"/>
  <c r="L103" i="3"/>
  <c r="G103" i="3"/>
  <c r="F103" i="3"/>
  <c r="E103" i="3"/>
  <c r="K102" i="3"/>
  <c r="G102" i="3"/>
  <c r="F102" i="3"/>
  <c r="E102" i="3"/>
  <c r="L101" i="3"/>
  <c r="K101" i="3"/>
  <c r="M101" i="3"/>
  <c r="G101" i="3"/>
  <c r="F101" i="3"/>
  <c r="E101" i="3"/>
  <c r="G100" i="3"/>
  <c r="F100" i="3"/>
  <c r="E100" i="3"/>
  <c r="L99" i="3"/>
  <c r="G99" i="3"/>
  <c r="F99" i="3"/>
  <c r="E99" i="3"/>
  <c r="M98" i="3"/>
  <c r="L98" i="3"/>
  <c r="K98" i="3"/>
  <c r="G98" i="3"/>
  <c r="F98" i="3"/>
  <c r="E98" i="3"/>
  <c r="G97" i="3"/>
  <c r="F97" i="3"/>
  <c r="E97" i="3"/>
  <c r="G96" i="3"/>
  <c r="F96" i="3"/>
  <c r="E96" i="3"/>
  <c r="M95" i="3"/>
  <c r="L95" i="3"/>
  <c r="G95" i="3"/>
  <c r="F95" i="3"/>
  <c r="E95" i="3"/>
  <c r="G94" i="3"/>
  <c r="F94" i="3"/>
  <c r="E94" i="3"/>
  <c r="L93" i="3"/>
  <c r="K93" i="3"/>
  <c r="M93" i="3"/>
  <c r="G93" i="3"/>
  <c r="F93" i="3"/>
  <c r="E93" i="3"/>
  <c r="M92" i="3"/>
  <c r="G92" i="3"/>
  <c r="F92" i="3"/>
  <c r="E92" i="3"/>
  <c r="L91" i="3"/>
  <c r="K91" i="3"/>
  <c r="G91" i="3"/>
  <c r="F91" i="3"/>
  <c r="E91" i="3"/>
  <c r="M90" i="3"/>
  <c r="L90" i="3"/>
  <c r="K90" i="3"/>
  <c r="G90" i="3"/>
  <c r="F90" i="3"/>
  <c r="E90" i="3"/>
  <c r="L89" i="3"/>
  <c r="G89" i="3"/>
  <c r="F89" i="3"/>
  <c r="E89" i="3"/>
  <c r="M88" i="3"/>
  <c r="G88" i="3"/>
  <c r="F88" i="3"/>
  <c r="E88" i="3"/>
  <c r="M87" i="3"/>
  <c r="L87" i="3"/>
  <c r="G87" i="3"/>
  <c r="F87" i="3"/>
  <c r="E87" i="3"/>
  <c r="G86" i="3"/>
  <c r="F86" i="3"/>
  <c r="E86" i="3"/>
  <c r="L85" i="3"/>
  <c r="K85" i="3"/>
  <c r="M85" i="3"/>
  <c r="G85" i="3"/>
  <c r="F85" i="3"/>
  <c r="E85" i="3"/>
  <c r="M84" i="3"/>
  <c r="G84" i="3"/>
  <c r="F84" i="3"/>
  <c r="E84" i="3"/>
  <c r="M83" i="3"/>
  <c r="G83" i="3"/>
  <c r="F83" i="3"/>
  <c r="E83" i="3"/>
  <c r="M82" i="3"/>
  <c r="L82" i="3"/>
  <c r="K82" i="3"/>
  <c r="G82" i="3"/>
  <c r="F82" i="3"/>
  <c r="E82" i="3"/>
  <c r="G81" i="3"/>
  <c r="F81" i="3"/>
  <c r="E81" i="3"/>
  <c r="M80" i="3"/>
  <c r="L80" i="3"/>
  <c r="G80" i="3"/>
  <c r="F80" i="3"/>
  <c r="E80" i="3"/>
  <c r="M79" i="3"/>
  <c r="L79" i="3"/>
  <c r="G79" i="3"/>
  <c r="F79" i="3"/>
  <c r="E79" i="3"/>
  <c r="G78" i="3"/>
  <c r="F78" i="3"/>
  <c r="E78" i="3"/>
  <c r="L77" i="3"/>
  <c r="K77" i="3"/>
  <c r="M77" i="3"/>
  <c r="G77" i="3"/>
  <c r="F77" i="3"/>
  <c r="E77" i="3"/>
  <c r="K76" i="3"/>
  <c r="G76" i="3"/>
  <c r="F76" i="3"/>
  <c r="E76" i="3"/>
  <c r="L75" i="3"/>
  <c r="K75" i="3"/>
  <c r="G75" i="3"/>
  <c r="F75" i="3"/>
  <c r="E75" i="3"/>
  <c r="M74" i="3"/>
  <c r="L74" i="3"/>
  <c r="K74" i="3"/>
  <c r="G74" i="3"/>
  <c r="F74" i="3"/>
  <c r="E74" i="3"/>
  <c r="G73" i="3"/>
  <c r="F73" i="3"/>
  <c r="E73" i="3"/>
  <c r="M72" i="3"/>
  <c r="G72" i="3"/>
  <c r="F72" i="3"/>
  <c r="E72" i="3"/>
  <c r="M71" i="3"/>
  <c r="L71" i="3"/>
  <c r="G71" i="3"/>
  <c r="F71" i="3"/>
  <c r="E71" i="3"/>
  <c r="G70" i="3"/>
  <c r="F70" i="3"/>
  <c r="E70" i="3"/>
  <c r="L69" i="3"/>
  <c r="K69" i="3"/>
  <c r="M69" i="3"/>
  <c r="G69" i="3"/>
  <c r="F69" i="3"/>
  <c r="E69" i="3"/>
  <c r="G68" i="3"/>
  <c r="F68" i="3"/>
  <c r="E68" i="3"/>
  <c r="M67" i="3"/>
  <c r="K67" i="3"/>
  <c r="G67" i="3"/>
  <c r="F67" i="3"/>
  <c r="E67" i="3"/>
  <c r="M66" i="3"/>
  <c r="L66" i="3"/>
  <c r="K66" i="3"/>
  <c r="G66" i="3"/>
  <c r="F66" i="3"/>
  <c r="E66" i="3"/>
  <c r="G65" i="3"/>
  <c r="F65" i="3"/>
  <c r="E65" i="3"/>
  <c r="K64" i="3"/>
  <c r="M64" i="3"/>
  <c r="L64" i="3"/>
  <c r="G64" i="3"/>
  <c r="F64" i="3"/>
  <c r="E64" i="3"/>
  <c r="M63" i="3"/>
  <c r="L63" i="3"/>
  <c r="G63" i="3"/>
  <c r="F63" i="3"/>
  <c r="E63" i="3"/>
  <c r="G62" i="3"/>
  <c r="F62" i="3"/>
  <c r="E62" i="3"/>
  <c r="L61" i="3"/>
  <c r="K61" i="3"/>
  <c r="M61" i="3"/>
  <c r="G61" i="3"/>
  <c r="F61" i="3"/>
  <c r="E61" i="3"/>
  <c r="K60" i="3"/>
  <c r="G60" i="3"/>
  <c r="F60" i="3"/>
  <c r="E60" i="3"/>
  <c r="L59" i="3"/>
  <c r="K59" i="3"/>
  <c r="G59" i="3"/>
  <c r="F59" i="3"/>
  <c r="E59" i="3"/>
  <c r="M58" i="3"/>
  <c r="L58" i="3"/>
  <c r="K58" i="3"/>
  <c r="G58" i="3"/>
  <c r="F58" i="3"/>
  <c r="E58" i="3"/>
  <c r="G57" i="3"/>
  <c r="F57" i="3"/>
  <c r="E57" i="3"/>
  <c r="M56" i="3"/>
  <c r="G56" i="3"/>
  <c r="F56" i="3"/>
  <c r="E56" i="3"/>
  <c r="M55" i="3"/>
  <c r="L55" i="3"/>
  <c r="G55" i="3"/>
  <c r="F55" i="3"/>
  <c r="E55" i="3"/>
  <c r="G54" i="3"/>
  <c r="F54" i="3"/>
  <c r="E54" i="3"/>
  <c r="L53" i="3"/>
  <c r="K53" i="3"/>
  <c r="M53" i="3"/>
  <c r="G53" i="3"/>
  <c r="F53" i="3"/>
  <c r="E53" i="3"/>
  <c r="G52" i="3"/>
  <c r="F52" i="3"/>
  <c r="E52" i="3"/>
  <c r="M51" i="3"/>
  <c r="G51" i="3"/>
  <c r="F51" i="3"/>
  <c r="E51" i="3"/>
  <c r="M50" i="3"/>
  <c r="L50" i="3"/>
  <c r="K50" i="3"/>
  <c r="G50" i="3"/>
  <c r="F50" i="3"/>
  <c r="E50" i="3"/>
  <c r="G49" i="3"/>
  <c r="F49" i="3"/>
  <c r="E49" i="3"/>
  <c r="M48" i="3"/>
  <c r="G48" i="3"/>
  <c r="F48" i="3"/>
  <c r="E48" i="3"/>
  <c r="M47" i="3"/>
  <c r="L47" i="3"/>
  <c r="K47" i="3"/>
  <c r="G47" i="3"/>
  <c r="F47" i="3"/>
  <c r="E47" i="3"/>
  <c r="G46" i="3"/>
  <c r="F46" i="3"/>
  <c r="E46" i="3"/>
  <c r="L45" i="3"/>
  <c r="K45" i="3"/>
  <c r="M45" i="3"/>
  <c r="G45" i="3"/>
  <c r="F45" i="3"/>
  <c r="E45" i="3"/>
  <c r="L44" i="3"/>
  <c r="G44" i="3"/>
  <c r="F44" i="3"/>
  <c r="E44" i="3"/>
  <c r="L43" i="3"/>
  <c r="K43" i="3"/>
  <c r="G43" i="3"/>
  <c r="F43" i="3"/>
  <c r="E43" i="3"/>
  <c r="M42" i="3"/>
  <c r="L42" i="3"/>
  <c r="K42" i="3"/>
  <c r="G42" i="3"/>
  <c r="F42" i="3"/>
  <c r="E42" i="3"/>
  <c r="G41" i="3"/>
  <c r="F41" i="3"/>
  <c r="E41" i="3"/>
  <c r="M40" i="3"/>
  <c r="G40" i="3"/>
  <c r="F40" i="3"/>
  <c r="E40" i="3"/>
  <c r="M39" i="3"/>
  <c r="L39" i="3"/>
  <c r="K39" i="3"/>
  <c r="G39" i="3"/>
  <c r="F39" i="3"/>
  <c r="E39" i="3"/>
  <c r="G38" i="3"/>
  <c r="F38" i="3"/>
  <c r="E38" i="3"/>
  <c r="L37" i="3"/>
  <c r="K37" i="3"/>
  <c r="M37" i="3"/>
  <c r="G37" i="3"/>
  <c r="F37" i="3"/>
  <c r="E37" i="3"/>
  <c r="G36" i="3"/>
  <c r="F36" i="3"/>
  <c r="E36" i="3"/>
  <c r="M35" i="3"/>
  <c r="G35" i="3"/>
  <c r="F35" i="3"/>
  <c r="E35" i="3"/>
  <c r="M34" i="3"/>
  <c r="L34" i="3"/>
  <c r="K34" i="3"/>
  <c r="G34" i="3"/>
  <c r="F34" i="3"/>
  <c r="E34" i="3"/>
  <c r="G33" i="3"/>
  <c r="F33" i="3"/>
  <c r="E33" i="3"/>
  <c r="M32" i="3"/>
  <c r="G32" i="3"/>
  <c r="F32" i="3"/>
  <c r="E32" i="3"/>
  <c r="M31" i="3"/>
  <c r="L31" i="3"/>
  <c r="K31" i="3"/>
  <c r="G31" i="3"/>
  <c r="F31" i="3"/>
  <c r="E31" i="3"/>
  <c r="G30" i="3"/>
  <c r="F30" i="3"/>
  <c r="E30" i="3"/>
  <c r="L29" i="3"/>
  <c r="K29" i="3"/>
  <c r="M29" i="3"/>
  <c r="G29" i="3"/>
  <c r="F29" i="3"/>
  <c r="E29" i="3"/>
  <c r="L28" i="3"/>
  <c r="G28" i="3"/>
  <c r="F28" i="3"/>
  <c r="E28" i="3"/>
  <c r="M27" i="3"/>
  <c r="G27" i="3"/>
  <c r="F27" i="3"/>
  <c r="E27" i="3"/>
  <c r="M26" i="3"/>
  <c r="L26" i="3"/>
  <c r="K26" i="3"/>
  <c r="G26" i="3"/>
  <c r="F26" i="3"/>
  <c r="E26" i="3"/>
  <c r="L25" i="3"/>
  <c r="G25" i="3"/>
  <c r="F25" i="3"/>
  <c r="E25" i="3"/>
  <c r="L24" i="3"/>
  <c r="G24" i="3"/>
  <c r="F24" i="3"/>
  <c r="E24" i="3"/>
  <c r="M23" i="3"/>
  <c r="L23" i="3"/>
  <c r="K23" i="3"/>
  <c r="G23" i="3"/>
  <c r="F23" i="3"/>
  <c r="E23" i="3"/>
  <c r="G22" i="3"/>
  <c r="F22" i="3"/>
  <c r="E22" i="3"/>
  <c r="L21" i="3"/>
  <c r="G21" i="3"/>
  <c r="F21" i="3"/>
  <c r="E21" i="3"/>
  <c r="L20" i="3"/>
  <c r="G20" i="3"/>
  <c r="F20" i="3"/>
  <c r="E20" i="3"/>
  <c r="K19" i="3"/>
  <c r="G19" i="3"/>
  <c r="F19" i="3"/>
  <c r="E19" i="3"/>
  <c r="M18" i="3"/>
  <c r="L18" i="3"/>
  <c r="K18" i="3"/>
  <c r="G18" i="3"/>
  <c r="F18" i="3"/>
  <c r="E18" i="3"/>
  <c r="L17" i="3"/>
  <c r="K17" i="3"/>
  <c r="G17" i="3"/>
  <c r="F17" i="3"/>
  <c r="E17" i="3"/>
  <c r="M16" i="3"/>
  <c r="G16" i="3"/>
  <c r="F16" i="3"/>
  <c r="E16" i="3"/>
  <c r="M15" i="3"/>
  <c r="L15" i="3"/>
  <c r="G15" i="3"/>
  <c r="F15" i="3"/>
  <c r="E15" i="3"/>
  <c r="P14" i="3"/>
  <c r="G14" i="3"/>
  <c r="F14" i="3"/>
  <c r="E14" i="3"/>
  <c r="G13" i="3"/>
  <c r="F13" i="3"/>
  <c r="E13" i="3"/>
  <c r="G12" i="3"/>
  <c r="F12" i="3"/>
  <c r="E12" i="3"/>
  <c r="G11" i="3"/>
  <c r="F11" i="3"/>
  <c r="E11" i="3"/>
  <c r="G10" i="3"/>
  <c r="F10" i="3"/>
  <c r="E10" i="3"/>
  <c r="G9" i="3"/>
  <c r="F9" i="3"/>
  <c r="E9" i="3"/>
  <c r="G8" i="3"/>
  <c r="F8" i="3"/>
  <c r="E8" i="3"/>
  <c r="G7" i="3"/>
  <c r="F7" i="3"/>
  <c r="E7" i="3"/>
  <c r="G6" i="3"/>
  <c r="F6" i="3"/>
  <c r="E6" i="3"/>
  <c r="G5" i="3"/>
  <c r="F5" i="3"/>
  <c r="E5" i="3"/>
  <c r="G4" i="3"/>
  <c r="F4" i="3"/>
  <c r="E4" i="3"/>
  <c r="G3" i="3"/>
  <c r="F3" i="3"/>
  <c r="E3" i="3"/>
  <c r="R5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4" i="2"/>
  <c r="M20" i="3" l="1"/>
  <c r="M25" i="3"/>
  <c r="L142" i="3"/>
  <c r="L22" i="3"/>
  <c r="M28" i="3"/>
  <c r="L33" i="3"/>
  <c r="L36" i="3"/>
  <c r="M44" i="3"/>
  <c r="K49" i="3"/>
  <c r="L52" i="3"/>
  <c r="K68" i="3"/>
  <c r="M110" i="3"/>
  <c r="M33" i="3"/>
  <c r="M52" i="3"/>
  <c r="L62" i="3"/>
  <c r="K126" i="3"/>
  <c r="K134" i="3"/>
  <c r="K137" i="3"/>
  <c r="K150" i="3"/>
  <c r="L145" i="3"/>
  <c r="M132" i="3"/>
  <c r="M145" i="3"/>
  <c r="L137" i="3"/>
  <c r="K140" i="3"/>
  <c r="K100" i="3"/>
  <c r="M105" i="3"/>
  <c r="K108" i="3"/>
  <c r="L140" i="3"/>
  <c r="L148" i="3"/>
  <c r="M97" i="3"/>
  <c r="K14" i="3"/>
  <c r="L14" i="3"/>
  <c r="M14" i="3"/>
  <c r="K15" i="3"/>
  <c r="M120" i="3"/>
  <c r="K120" i="3"/>
  <c r="L136" i="3"/>
  <c r="K147" i="3"/>
  <c r="M150" i="3"/>
  <c r="M21" i="3"/>
  <c r="K21" i="3"/>
  <c r="M46" i="3"/>
  <c r="L70" i="3"/>
  <c r="K72" i="3"/>
  <c r="M99" i="3"/>
  <c r="M43" i="3"/>
  <c r="L57" i="3"/>
  <c r="M91" i="3"/>
  <c r="M112" i="3"/>
  <c r="K112" i="3"/>
  <c r="M57" i="3"/>
  <c r="K57" i="3"/>
  <c r="M59" i="3"/>
  <c r="M70" i="3"/>
  <c r="K22" i="3"/>
  <c r="L40" i="3"/>
  <c r="M41" i="3"/>
  <c r="L56" i="3"/>
  <c r="M65" i="3"/>
  <c r="K65" i="3"/>
  <c r="L67" i="3"/>
  <c r="L78" i="3"/>
  <c r="K80" i="3"/>
  <c r="L88" i="3"/>
  <c r="L96" i="3"/>
  <c r="M104" i="3"/>
  <c r="K104" i="3"/>
  <c r="L118" i="3"/>
  <c r="M126" i="3"/>
  <c r="K131" i="3"/>
  <c r="M134" i="3"/>
  <c r="K144" i="3"/>
  <c r="M147" i="3"/>
  <c r="K16" i="3"/>
  <c r="M38" i="3"/>
  <c r="K38" i="3"/>
  <c r="M78" i="3"/>
  <c r="M96" i="3"/>
  <c r="K96" i="3"/>
  <c r="M118" i="3"/>
  <c r="L144" i="3"/>
  <c r="M128" i="3"/>
  <c r="K128" i="3"/>
  <c r="L41" i="3"/>
  <c r="K41" i="3"/>
  <c r="K48" i="3"/>
  <c r="K27" i="3"/>
  <c r="K35" i="3"/>
  <c r="L38" i="3"/>
  <c r="K40" i="3"/>
  <c r="K51" i="3"/>
  <c r="L54" i="3"/>
  <c r="K56" i="3"/>
  <c r="M73" i="3"/>
  <c r="K73" i="3"/>
  <c r="L86" i="3"/>
  <c r="K88" i="3"/>
  <c r="L102" i="3"/>
  <c r="M131" i="3"/>
  <c r="K32" i="3"/>
  <c r="L19" i="3"/>
  <c r="L16" i="3"/>
  <c r="M19" i="3"/>
  <c r="M24" i="3"/>
  <c r="K24" i="3"/>
  <c r="L27" i="3"/>
  <c r="M30" i="3"/>
  <c r="K30" i="3"/>
  <c r="L32" i="3"/>
  <c r="L35" i="3"/>
  <c r="L49" i="3"/>
  <c r="L51" i="3"/>
  <c r="M54" i="3"/>
  <c r="K62" i="3"/>
  <c r="L73" i="3"/>
  <c r="M75" i="3"/>
  <c r="K83" i="3"/>
  <c r="M86" i="3"/>
  <c r="L94" i="3"/>
  <c r="M102" i="3"/>
  <c r="K107" i="3"/>
  <c r="M123" i="3"/>
  <c r="K139" i="3"/>
  <c r="M142" i="3"/>
  <c r="K152" i="3"/>
  <c r="K46" i="3"/>
  <c r="L48" i="3"/>
  <c r="L72" i="3"/>
  <c r="M81" i="3"/>
  <c r="K81" i="3"/>
  <c r="L83" i="3"/>
  <c r="M94" i="3"/>
  <c r="K99" i="3"/>
  <c r="L128" i="3"/>
  <c r="L152" i="3"/>
  <c r="K89" i="3"/>
  <c r="K97" i="3"/>
  <c r="K105" i="3"/>
  <c r="K113" i="3"/>
  <c r="K121" i="3"/>
  <c r="K129" i="3"/>
  <c r="K153" i="3"/>
  <c r="K36" i="3"/>
  <c r="K55" i="3"/>
  <c r="L60" i="3"/>
  <c r="K63" i="3"/>
  <c r="L68" i="3"/>
  <c r="K71" i="3"/>
  <c r="L76" i="3"/>
  <c r="K79" i="3"/>
  <c r="L84" i="3"/>
  <c r="K87" i="3"/>
  <c r="L92" i="3"/>
  <c r="K95" i="3"/>
  <c r="L100" i="3"/>
  <c r="K103" i="3"/>
  <c r="L108" i="3"/>
  <c r="K111" i="3"/>
  <c r="L116" i="3"/>
  <c r="K119" i="3"/>
  <c r="L124" i="3"/>
  <c r="K127" i="3"/>
  <c r="H15" i="2"/>
  <c r="I15" i="2"/>
  <c r="J15" i="2"/>
  <c r="H16" i="2"/>
  <c r="I16" i="2"/>
  <c r="J16" i="2"/>
  <c r="H17" i="2"/>
  <c r="I17" i="2"/>
  <c r="M17" i="2" s="1"/>
  <c r="J17" i="2"/>
  <c r="H18" i="2"/>
  <c r="I18" i="2"/>
  <c r="J18" i="2"/>
  <c r="H19" i="2"/>
  <c r="I19" i="2"/>
  <c r="J19" i="2"/>
  <c r="L19" i="2" s="1"/>
  <c r="H20" i="2"/>
  <c r="K20" i="2" s="1"/>
  <c r="I20" i="2"/>
  <c r="J20" i="2"/>
  <c r="H21" i="2"/>
  <c r="I21" i="2"/>
  <c r="J21" i="2"/>
  <c r="H22" i="2"/>
  <c r="I22" i="2"/>
  <c r="J22" i="2"/>
  <c r="K22" i="2" s="1"/>
  <c r="H23" i="2"/>
  <c r="I23" i="2"/>
  <c r="J23" i="2"/>
  <c r="H24" i="2"/>
  <c r="I24" i="2"/>
  <c r="J24" i="2"/>
  <c r="H25" i="2"/>
  <c r="I25" i="2"/>
  <c r="K25" i="2" s="1"/>
  <c r="J25" i="2"/>
  <c r="H26" i="2"/>
  <c r="I26" i="2"/>
  <c r="J26" i="2"/>
  <c r="H27" i="2"/>
  <c r="I27" i="2"/>
  <c r="J27" i="2"/>
  <c r="L27" i="2" s="1"/>
  <c r="H28" i="2"/>
  <c r="M28" i="2" s="1"/>
  <c r="I28" i="2"/>
  <c r="J28" i="2"/>
  <c r="H29" i="2"/>
  <c r="I29" i="2"/>
  <c r="J29" i="2"/>
  <c r="H30" i="2"/>
  <c r="I30" i="2"/>
  <c r="J30" i="2"/>
  <c r="K30" i="2" s="1"/>
  <c r="H31" i="2"/>
  <c r="I31" i="2"/>
  <c r="J31" i="2"/>
  <c r="H32" i="2"/>
  <c r="I32" i="2"/>
  <c r="J32" i="2"/>
  <c r="H33" i="2"/>
  <c r="I33" i="2"/>
  <c r="K33" i="2" s="1"/>
  <c r="J33" i="2"/>
  <c r="H34" i="2"/>
  <c r="I34" i="2"/>
  <c r="J34" i="2"/>
  <c r="H35" i="2"/>
  <c r="I35" i="2"/>
  <c r="J35" i="2"/>
  <c r="K35" i="2" s="1"/>
  <c r="H36" i="2"/>
  <c r="K36" i="2" s="1"/>
  <c r="I36" i="2"/>
  <c r="J36" i="2"/>
  <c r="H37" i="2"/>
  <c r="I37" i="2"/>
  <c r="J37" i="2"/>
  <c r="H38" i="2"/>
  <c r="I38" i="2"/>
  <c r="J38" i="2"/>
  <c r="K38" i="2" s="1"/>
  <c r="H39" i="2"/>
  <c r="I39" i="2"/>
  <c r="J39" i="2"/>
  <c r="H40" i="2"/>
  <c r="I40" i="2"/>
  <c r="J40" i="2"/>
  <c r="H41" i="2"/>
  <c r="I41" i="2"/>
  <c r="K41" i="2" s="1"/>
  <c r="J41" i="2"/>
  <c r="H42" i="2"/>
  <c r="I42" i="2"/>
  <c r="J42" i="2"/>
  <c r="H43" i="2"/>
  <c r="I43" i="2"/>
  <c r="J43" i="2"/>
  <c r="K43" i="2" s="1"/>
  <c r="H44" i="2"/>
  <c r="M44" i="2" s="1"/>
  <c r="I44" i="2"/>
  <c r="J44" i="2"/>
  <c r="H45" i="2"/>
  <c r="I45" i="2"/>
  <c r="J45" i="2"/>
  <c r="H46" i="2"/>
  <c r="I46" i="2"/>
  <c r="J46" i="2"/>
  <c r="M46" i="2" s="1"/>
  <c r="H47" i="2"/>
  <c r="I47" i="2"/>
  <c r="J47" i="2"/>
  <c r="H48" i="2"/>
  <c r="I48" i="2"/>
  <c r="J48" i="2"/>
  <c r="H49" i="2"/>
  <c r="I49" i="2"/>
  <c r="K49" i="2" s="1"/>
  <c r="J49" i="2"/>
  <c r="H50" i="2"/>
  <c r="I50" i="2"/>
  <c r="J50" i="2"/>
  <c r="H51" i="2"/>
  <c r="I51" i="2"/>
  <c r="J51" i="2"/>
  <c r="K51" i="2" s="1"/>
  <c r="H52" i="2"/>
  <c r="K52" i="2" s="1"/>
  <c r="I52" i="2"/>
  <c r="J52" i="2"/>
  <c r="H53" i="2"/>
  <c r="I53" i="2"/>
  <c r="J53" i="2"/>
  <c r="H54" i="2"/>
  <c r="I54" i="2"/>
  <c r="J54" i="2"/>
  <c r="K54" i="2" s="1"/>
  <c r="H55" i="2"/>
  <c r="I55" i="2"/>
  <c r="J55" i="2"/>
  <c r="H56" i="2"/>
  <c r="I56" i="2"/>
  <c r="J56" i="2"/>
  <c r="H57" i="2"/>
  <c r="I57" i="2"/>
  <c r="K57" i="2" s="1"/>
  <c r="J57" i="2"/>
  <c r="H58" i="2"/>
  <c r="I58" i="2"/>
  <c r="J58" i="2"/>
  <c r="H59" i="2"/>
  <c r="I59" i="2"/>
  <c r="J59" i="2"/>
  <c r="M59" i="2" s="1"/>
  <c r="H60" i="2"/>
  <c r="M60" i="2" s="1"/>
  <c r="I60" i="2"/>
  <c r="J60" i="2"/>
  <c r="H61" i="2"/>
  <c r="I61" i="2"/>
  <c r="J61" i="2"/>
  <c r="H62" i="2"/>
  <c r="I62" i="2"/>
  <c r="J62" i="2"/>
  <c r="K62" i="2" s="1"/>
  <c r="H63" i="2"/>
  <c r="I63" i="2"/>
  <c r="J63" i="2"/>
  <c r="H64" i="2"/>
  <c r="I64" i="2"/>
  <c r="J64" i="2"/>
  <c r="H65" i="2"/>
  <c r="I65" i="2"/>
  <c r="K65" i="2" s="1"/>
  <c r="J65" i="2"/>
  <c r="H66" i="2"/>
  <c r="I66" i="2"/>
  <c r="J66" i="2"/>
  <c r="H67" i="2"/>
  <c r="I67" i="2"/>
  <c r="J67" i="2"/>
  <c r="K67" i="2" s="1"/>
  <c r="H68" i="2"/>
  <c r="K68" i="2" s="1"/>
  <c r="I68" i="2"/>
  <c r="J68" i="2"/>
  <c r="H69" i="2"/>
  <c r="I69" i="2"/>
  <c r="J69" i="2"/>
  <c r="H70" i="2"/>
  <c r="I70" i="2"/>
  <c r="J70" i="2"/>
  <c r="K70" i="2" s="1"/>
  <c r="H71" i="2"/>
  <c r="I71" i="2"/>
  <c r="J71" i="2"/>
  <c r="H72" i="2"/>
  <c r="I72" i="2"/>
  <c r="J72" i="2"/>
  <c r="H73" i="2"/>
  <c r="I73" i="2"/>
  <c r="L73" i="2" s="1"/>
  <c r="J73" i="2"/>
  <c r="H74" i="2"/>
  <c r="I74" i="2"/>
  <c r="J74" i="2"/>
  <c r="H75" i="2"/>
  <c r="I75" i="2"/>
  <c r="J75" i="2"/>
  <c r="M75" i="2" s="1"/>
  <c r="H76" i="2"/>
  <c r="M76" i="2" s="1"/>
  <c r="I76" i="2"/>
  <c r="J76" i="2"/>
  <c r="H77" i="2"/>
  <c r="I77" i="2"/>
  <c r="J77" i="2"/>
  <c r="H78" i="2"/>
  <c r="I78" i="2"/>
  <c r="J78" i="2"/>
  <c r="M78" i="2" s="1"/>
  <c r="H79" i="2"/>
  <c r="I79" i="2"/>
  <c r="J79" i="2"/>
  <c r="H80" i="2"/>
  <c r="I80" i="2"/>
  <c r="J80" i="2"/>
  <c r="H81" i="2"/>
  <c r="I81" i="2"/>
  <c r="K81" i="2" s="1"/>
  <c r="J81" i="2"/>
  <c r="H82" i="2"/>
  <c r="I82" i="2"/>
  <c r="J82" i="2"/>
  <c r="H83" i="2"/>
  <c r="L83" i="2" s="1"/>
  <c r="I83" i="2"/>
  <c r="J83" i="2"/>
  <c r="K83" i="2" s="1"/>
  <c r="H84" i="2"/>
  <c r="K84" i="2" s="1"/>
  <c r="I84" i="2"/>
  <c r="J84" i="2"/>
  <c r="H85" i="2"/>
  <c r="I85" i="2"/>
  <c r="J85" i="2"/>
  <c r="K85" i="2" s="1"/>
  <c r="H86" i="2"/>
  <c r="I86" i="2"/>
  <c r="J86" i="2"/>
  <c r="K86" i="2" s="1"/>
  <c r="H87" i="2"/>
  <c r="I87" i="2"/>
  <c r="J87" i="2"/>
  <c r="H88" i="2"/>
  <c r="I88" i="2"/>
  <c r="L88" i="2" s="1"/>
  <c r="J88" i="2"/>
  <c r="H89" i="2"/>
  <c r="I89" i="2"/>
  <c r="K89" i="2" s="1"/>
  <c r="J89" i="2"/>
  <c r="H90" i="2"/>
  <c r="I90" i="2"/>
  <c r="J90" i="2"/>
  <c r="H91" i="2"/>
  <c r="K91" i="2" s="1"/>
  <c r="I91" i="2"/>
  <c r="J91" i="2"/>
  <c r="M91" i="2" s="1"/>
  <c r="H92" i="2"/>
  <c r="M92" i="2" s="1"/>
  <c r="I92" i="2"/>
  <c r="J92" i="2"/>
  <c r="H93" i="2"/>
  <c r="I93" i="2"/>
  <c r="J93" i="2"/>
  <c r="K93" i="2" s="1"/>
  <c r="H94" i="2"/>
  <c r="I94" i="2"/>
  <c r="J94" i="2"/>
  <c r="K94" i="2" s="1"/>
  <c r="H95" i="2"/>
  <c r="I95" i="2"/>
  <c r="J95" i="2"/>
  <c r="H96" i="2"/>
  <c r="I96" i="2"/>
  <c r="K96" i="2" s="1"/>
  <c r="J96" i="2"/>
  <c r="H97" i="2"/>
  <c r="I97" i="2"/>
  <c r="K97" i="2" s="1"/>
  <c r="J97" i="2"/>
  <c r="H98" i="2"/>
  <c r="I98" i="2"/>
  <c r="J98" i="2"/>
  <c r="H99" i="2"/>
  <c r="L99" i="2" s="1"/>
  <c r="I99" i="2"/>
  <c r="J99" i="2"/>
  <c r="K99" i="2" s="1"/>
  <c r="H100" i="2"/>
  <c r="K100" i="2" s="1"/>
  <c r="I100" i="2"/>
  <c r="J100" i="2"/>
  <c r="H101" i="2"/>
  <c r="I101" i="2"/>
  <c r="J101" i="2"/>
  <c r="L101" i="2" s="1"/>
  <c r="H102" i="2"/>
  <c r="I102" i="2"/>
  <c r="J102" i="2"/>
  <c r="K102" i="2" s="1"/>
  <c r="H103" i="2"/>
  <c r="I103" i="2"/>
  <c r="J103" i="2"/>
  <c r="H104" i="2"/>
  <c r="I104" i="2"/>
  <c r="K104" i="2" s="1"/>
  <c r="J104" i="2"/>
  <c r="H105" i="2"/>
  <c r="I105" i="2"/>
  <c r="L105" i="2" s="1"/>
  <c r="J105" i="2"/>
  <c r="H106" i="2"/>
  <c r="I106" i="2"/>
  <c r="J106" i="2"/>
  <c r="H107" i="2"/>
  <c r="I107" i="2"/>
  <c r="J107" i="2"/>
  <c r="M107" i="2" s="1"/>
  <c r="H108" i="2"/>
  <c r="M108" i="2" s="1"/>
  <c r="I108" i="2"/>
  <c r="J108" i="2"/>
  <c r="H109" i="2"/>
  <c r="I109" i="2"/>
  <c r="J109" i="2"/>
  <c r="K109" i="2" s="1"/>
  <c r="H110" i="2"/>
  <c r="I110" i="2"/>
  <c r="J110" i="2"/>
  <c r="M110" i="2" s="1"/>
  <c r="H111" i="2"/>
  <c r="I111" i="2"/>
  <c r="J111" i="2"/>
  <c r="H112" i="2"/>
  <c r="I112" i="2"/>
  <c r="K112" i="2" s="1"/>
  <c r="J112" i="2"/>
  <c r="H113" i="2"/>
  <c r="I113" i="2"/>
  <c r="K113" i="2" s="1"/>
  <c r="J113" i="2"/>
  <c r="H114" i="2"/>
  <c r="I114" i="2"/>
  <c r="J114" i="2"/>
  <c r="H115" i="2"/>
  <c r="K115" i="2" s="1"/>
  <c r="I115" i="2"/>
  <c r="J115" i="2"/>
  <c r="M115" i="2" s="1"/>
  <c r="H116" i="2"/>
  <c r="K116" i="2" s="1"/>
  <c r="I116" i="2"/>
  <c r="J116" i="2"/>
  <c r="H117" i="2"/>
  <c r="I117" i="2"/>
  <c r="J117" i="2"/>
  <c r="K117" i="2" s="1"/>
  <c r="H118" i="2"/>
  <c r="I118" i="2"/>
  <c r="J118" i="2"/>
  <c r="K118" i="2" s="1"/>
  <c r="H119" i="2"/>
  <c r="I119" i="2"/>
  <c r="J119" i="2"/>
  <c r="H120" i="2"/>
  <c r="I120" i="2"/>
  <c r="M120" i="2" s="1"/>
  <c r="J120" i="2"/>
  <c r="H121" i="2"/>
  <c r="I121" i="2"/>
  <c r="K121" i="2" s="1"/>
  <c r="J121" i="2"/>
  <c r="H122" i="2"/>
  <c r="I122" i="2"/>
  <c r="J122" i="2"/>
  <c r="H123" i="2"/>
  <c r="K123" i="2" s="1"/>
  <c r="I123" i="2"/>
  <c r="J123" i="2"/>
  <c r="M123" i="2" s="1"/>
  <c r="H124" i="2"/>
  <c r="M124" i="2" s="1"/>
  <c r="I124" i="2"/>
  <c r="J124" i="2"/>
  <c r="H125" i="2"/>
  <c r="I125" i="2"/>
  <c r="J125" i="2"/>
  <c r="L125" i="2" s="1"/>
  <c r="H126" i="2"/>
  <c r="I126" i="2"/>
  <c r="J126" i="2"/>
  <c r="L126" i="2" s="1"/>
  <c r="H127" i="2"/>
  <c r="I127" i="2"/>
  <c r="J127" i="2"/>
  <c r="H128" i="2"/>
  <c r="I128" i="2"/>
  <c r="L128" i="2" s="1"/>
  <c r="J128" i="2"/>
  <c r="H129" i="2"/>
  <c r="I129" i="2"/>
  <c r="L129" i="2" s="1"/>
  <c r="J129" i="2"/>
  <c r="H130" i="2"/>
  <c r="I130" i="2"/>
  <c r="J130" i="2"/>
  <c r="H131" i="2"/>
  <c r="K131" i="2" s="1"/>
  <c r="I131" i="2"/>
  <c r="J131" i="2"/>
  <c r="M131" i="2" s="1"/>
  <c r="H132" i="2"/>
  <c r="K132" i="2" s="1"/>
  <c r="I132" i="2"/>
  <c r="J132" i="2"/>
  <c r="H133" i="2"/>
  <c r="I133" i="2"/>
  <c r="J133" i="2"/>
  <c r="K133" i="2" s="1"/>
  <c r="H134" i="2"/>
  <c r="I134" i="2"/>
  <c r="J134" i="2"/>
  <c r="M134" i="2" s="1"/>
  <c r="H135" i="2"/>
  <c r="I135" i="2"/>
  <c r="J135" i="2"/>
  <c r="H136" i="2"/>
  <c r="I136" i="2"/>
  <c r="K136" i="2" s="1"/>
  <c r="J136" i="2"/>
  <c r="H137" i="2"/>
  <c r="I137" i="2"/>
  <c r="L137" i="2" s="1"/>
  <c r="J137" i="2"/>
  <c r="H138" i="2"/>
  <c r="I138" i="2"/>
  <c r="J138" i="2"/>
  <c r="H139" i="2"/>
  <c r="I139" i="2"/>
  <c r="J139" i="2"/>
  <c r="K139" i="2" s="1"/>
  <c r="H140" i="2"/>
  <c r="K140" i="2" s="1"/>
  <c r="I140" i="2"/>
  <c r="J140" i="2"/>
  <c r="H141" i="2"/>
  <c r="I141" i="2"/>
  <c r="J141" i="2"/>
  <c r="H142" i="2"/>
  <c r="I142" i="2"/>
  <c r="J142" i="2"/>
  <c r="K142" i="2" s="1"/>
  <c r="H143" i="2"/>
  <c r="I143" i="2"/>
  <c r="J143" i="2"/>
  <c r="H144" i="2"/>
  <c r="I144" i="2"/>
  <c r="L144" i="2" s="1"/>
  <c r="J144" i="2"/>
  <c r="H145" i="2"/>
  <c r="I145" i="2"/>
  <c r="L145" i="2" s="1"/>
  <c r="J145" i="2"/>
  <c r="H146" i="2"/>
  <c r="I146" i="2"/>
  <c r="J146" i="2"/>
  <c r="H147" i="2"/>
  <c r="I147" i="2"/>
  <c r="J147" i="2"/>
  <c r="H148" i="2"/>
  <c r="K148" i="2" s="1"/>
  <c r="I148" i="2"/>
  <c r="J148" i="2"/>
  <c r="H149" i="2"/>
  <c r="I149" i="2"/>
  <c r="J149" i="2"/>
  <c r="K149" i="2" s="1"/>
  <c r="H150" i="2"/>
  <c r="I150" i="2"/>
  <c r="J150" i="2"/>
  <c r="H151" i="2"/>
  <c r="I151" i="2"/>
  <c r="J151" i="2"/>
  <c r="H152" i="2"/>
  <c r="I152" i="2"/>
  <c r="J152" i="2"/>
  <c r="H153" i="2"/>
  <c r="I153" i="2"/>
  <c r="K153" i="2" s="1"/>
  <c r="J153" i="2"/>
  <c r="I14" i="2"/>
  <c r="J14" i="2"/>
  <c r="H14" i="2"/>
  <c r="K58" i="2"/>
  <c r="L66" i="2"/>
  <c r="L74" i="2"/>
  <c r="K82" i="2"/>
  <c r="L90" i="2"/>
  <c r="K98" i="2"/>
  <c r="K106" i="2"/>
  <c r="L114" i="2"/>
  <c r="K122" i="2"/>
  <c r="K130" i="2"/>
  <c r="L138" i="2"/>
  <c r="L141" i="2"/>
  <c r="K146" i="2"/>
  <c r="L119" i="2"/>
  <c r="L127" i="2"/>
  <c r="K15" i="2"/>
  <c r="L18" i="2"/>
  <c r="K23" i="2"/>
  <c r="L26" i="2"/>
  <c r="K31" i="2"/>
  <c r="L34" i="2"/>
  <c r="K39" i="2"/>
  <c r="L42" i="2"/>
  <c r="K47" i="2"/>
  <c r="L50" i="2"/>
  <c r="K55" i="2"/>
  <c r="K63" i="2"/>
  <c r="K71" i="2"/>
  <c r="K79" i="2"/>
  <c r="K87" i="2"/>
  <c r="K95" i="2"/>
  <c r="K103" i="2"/>
  <c r="L106" i="2"/>
  <c r="K111" i="2"/>
  <c r="L15" i="2"/>
  <c r="K16" i="2"/>
  <c r="L16" i="2"/>
  <c r="M16" i="2"/>
  <c r="K18" i="2"/>
  <c r="K19" i="2"/>
  <c r="M19" i="2"/>
  <c r="K21" i="2"/>
  <c r="L21" i="2"/>
  <c r="M21" i="2"/>
  <c r="L23" i="2"/>
  <c r="K24" i="2"/>
  <c r="L24" i="2"/>
  <c r="M24" i="2"/>
  <c r="K26" i="2"/>
  <c r="K27" i="2"/>
  <c r="K29" i="2"/>
  <c r="L29" i="2"/>
  <c r="M29" i="2"/>
  <c r="L31" i="2"/>
  <c r="K32" i="2"/>
  <c r="L32" i="2"/>
  <c r="M32" i="2"/>
  <c r="K34" i="2"/>
  <c r="K37" i="2"/>
  <c r="L37" i="2"/>
  <c r="M37" i="2"/>
  <c r="L39" i="2"/>
  <c r="K40" i="2"/>
  <c r="L40" i="2"/>
  <c r="M40" i="2"/>
  <c r="K42" i="2"/>
  <c r="L43" i="2"/>
  <c r="M43" i="2"/>
  <c r="K45" i="2"/>
  <c r="L45" i="2"/>
  <c r="M45" i="2"/>
  <c r="L47" i="2"/>
  <c r="K48" i="2"/>
  <c r="L48" i="2"/>
  <c r="M48" i="2"/>
  <c r="K50" i="2"/>
  <c r="K53" i="2"/>
  <c r="L53" i="2"/>
  <c r="M53" i="2"/>
  <c r="L55" i="2"/>
  <c r="K56" i="2"/>
  <c r="L56" i="2"/>
  <c r="M56" i="2"/>
  <c r="K61" i="2"/>
  <c r="L61" i="2"/>
  <c r="M61" i="2"/>
  <c r="L63" i="2"/>
  <c r="K64" i="2"/>
  <c r="L64" i="2"/>
  <c r="M64" i="2"/>
  <c r="M67" i="2"/>
  <c r="K69" i="2"/>
  <c r="L69" i="2"/>
  <c r="M69" i="2"/>
  <c r="L71" i="2"/>
  <c r="K72" i="2"/>
  <c r="L72" i="2"/>
  <c r="M72" i="2"/>
  <c r="K75" i="2"/>
  <c r="L75" i="2"/>
  <c r="K77" i="2"/>
  <c r="L77" i="2"/>
  <c r="M77" i="2"/>
  <c r="L79" i="2"/>
  <c r="K80" i="2"/>
  <c r="L80" i="2"/>
  <c r="M80" i="2"/>
  <c r="L85" i="2"/>
  <c r="L87" i="2"/>
  <c r="K88" i="2"/>
  <c r="L93" i="2"/>
  <c r="M93" i="2"/>
  <c r="L95" i="2"/>
  <c r="M99" i="2"/>
  <c r="K101" i="2"/>
  <c r="L103" i="2"/>
  <c r="L104" i="2"/>
  <c r="K107" i="2"/>
  <c r="L107" i="2"/>
  <c r="L111" i="2"/>
  <c r="L112" i="2"/>
  <c r="M112" i="2"/>
  <c r="L117" i="2"/>
  <c r="K120" i="2"/>
  <c r="L120" i="2"/>
  <c r="K125" i="2"/>
  <c r="M125" i="2"/>
  <c r="K128" i="2"/>
  <c r="L133" i="2"/>
  <c r="M133" i="2"/>
  <c r="L135" i="2"/>
  <c r="K141" i="2"/>
  <c r="M141" i="2"/>
  <c r="E4" i="2"/>
  <c r="F4" i="2"/>
  <c r="G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E46" i="2"/>
  <c r="F46" i="2"/>
  <c r="G46" i="2"/>
  <c r="E47" i="2"/>
  <c r="F47" i="2"/>
  <c r="G47" i="2"/>
  <c r="E48" i="2"/>
  <c r="F48" i="2"/>
  <c r="G48" i="2"/>
  <c r="E49" i="2"/>
  <c r="F49" i="2"/>
  <c r="G49" i="2"/>
  <c r="E50" i="2"/>
  <c r="F50" i="2"/>
  <c r="G50" i="2"/>
  <c r="E51" i="2"/>
  <c r="F51" i="2"/>
  <c r="G51" i="2"/>
  <c r="E52" i="2"/>
  <c r="F52" i="2"/>
  <c r="G52" i="2"/>
  <c r="E53" i="2"/>
  <c r="F53" i="2"/>
  <c r="G53" i="2"/>
  <c r="E54" i="2"/>
  <c r="F54" i="2"/>
  <c r="G54" i="2"/>
  <c r="E55" i="2"/>
  <c r="F55" i="2"/>
  <c r="G55" i="2"/>
  <c r="E56" i="2"/>
  <c r="F56" i="2"/>
  <c r="G56" i="2"/>
  <c r="E57" i="2"/>
  <c r="F57" i="2"/>
  <c r="G57" i="2"/>
  <c r="E58" i="2"/>
  <c r="F58" i="2"/>
  <c r="G58" i="2"/>
  <c r="E59" i="2"/>
  <c r="F59" i="2"/>
  <c r="G59" i="2"/>
  <c r="E60" i="2"/>
  <c r="F60" i="2"/>
  <c r="G60" i="2"/>
  <c r="E61" i="2"/>
  <c r="F61" i="2"/>
  <c r="G61" i="2"/>
  <c r="E62" i="2"/>
  <c r="F62" i="2"/>
  <c r="G62" i="2"/>
  <c r="E63" i="2"/>
  <c r="F63" i="2"/>
  <c r="G63" i="2"/>
  <c r="E64" i="2"/>
  <c r="F64" i="2"/>
  <c r="G64" i="2"/>
  <c r="E65" i="2"/>
  <c r="F65" i="2"/>
  <c r="G65" i="2"/>
  <c r="E66" i="2"/>
  <c r="F66" i="2"/>
  <c r="G66" i="2"/>
  <c r="E67" i="2"/>
  <c r="F67" i="2"/>
  <c r="G67" i="2"/>
  <c r="E68" i="2"/>
  <c r="F68" i="2"/>
  <c r="G68" i="2"/>
  <c r="E69" i="2"/>
  <c r="F69" i="2"/>
  <c r="G69" i="2"/>
  <c r="E70" i="2"/>
  <c r="F70" i="2"/>
  <c r="G70" i="2"/>
  <c r="E71" i="2"/>
  <c r="F71" i="2"/>
  <c r="G71" i="2"/>
  <c r="E72" i="2"/>
  <c r="F72" i="2"/>
  <c r="G72" i="2"/>
  <c r="E73" i="2"/>
  <c r="F73" i="2"/>
  <c r="G73" i="2"/>
  <c r="E74" i="2"/>
  <c r="F74" i="2"/>
  <c r="G74" i="2"/>
  <c r="E75" i="2"/>
  <c r="F75" i="2"/>
  <c r="G75" i="2"/>
  <c r="E76" i="2"/>
  <c r="F76" i="2"/>
  <c r="G76" i="2"/>
  <c r="E77" i="2"/>
  <c r="F77" i="2"/>
  <c r="G77" i="2"/>
  <c r="E78" i="2"/>
  <c r="F78" i="2"/>
  <c r="G78" i="2"/>
  <c r="E79" i="2"/>
  <c r="F79" i="2"/>
  <c r="G79" i="2"/>
  <c r="E80" i="2"/>
  <c r="F80" i="2"/>
  <c r="G80" i="2"/>
  <c r="E81" i="2"/>
  <c r="F81" i="2"/>
  <c r="G81" i="2"/>
  <c r="E82" i="2"/>
  <c r="F82" i="2"/>
  <c r="G82" i="2"/>
  <c r="E83" i="2"/>
  <c r="F83" i="2"/>
  <c r="G83" i="2"/>
  <c r="E84" i="2"/>
  <c r="F84" i="2"/>
  <c r="G84" i="2"/>
  <c r="E85" i="2"/>
  <c r="F85" i="2"/>
  <c r="G85" i="2"/>
  <c r="E86" i="2"/>
  <c r="F86" i="2"/>
  <c r="G86" i="2"/>
  <c r="E87" i="2"/>
  <c r="F87" i="2"/>
  <c r="G87" i="2"/>
  <c r="E88" i="2"/>
  <c r="F88" i="2"/>
  <c r="G88" i="2"/>
  <c r="E89" i="2"/>
  <c r="F89" i="2"/>
  <c r="G89" i="2"/>
  <c r="E90" i="2"/>
  <c r="F90" i="2"/>
  <c r="G90" i="2"/>
  <c r="E91" i="2"/>
  <c r="F91" i="2"/>
  <c r="G91" i="2"/>
  <c r="E92" i="2"/>
  <c r="F92" i="2"/>
  <c r="G92" i="2"/>
  <c r="E93" i="2"/>
  <c r="F93" i="2"/>
  <c r="G93" i="2"/>
  <c r="E94" i="2"/>
  <c r="F94" i="2"/>
  <c r="G94" i="2"/>
  <c r="E95" i="2"/>
  <c r="F95" i="2"/>
  <c r="G95" i="2"/>
  <c r="E96" i="2"/>
  <c r="F96" i="2"/>
  <c r="G96" i="2"/>
  <c r="E97" i="2"/>
  <c r="F97" i="2"/>
  <c r="G97" i="2"/>
  <c r="E98" i="2"/>
  <c r="F98" i="2"/>
  <c r="G98" i="2"/>
  <c r="E99" i="2"/>
  <c r="F99" i="2"/>
  <c r="G99" i="2"/>
  <c r="E100" i="2"/>
  <c r="F100" i="2"/>
  <c r="G100" i="2"/>
  <c r="E101" i="2"/>
  <c r="F101" i="2"/>
  <c r="G101" i="2"/>
  <c r="E102" i="2"/>
  <c r="F102" i="2"/>
  <c r="G102" i="2"/>
  <c r="E103" i="2"/>
  <c r="F103" i="2"/>
  <c r="G103" i="2"/>
  <c r="E104" i="2"/>
  <c r="F104" i="2"/>
  <c r="G104" i="2"/>
  <c r="E105" i="2"/>
  <c r="F105" i="2"/>
  <c r="G105" i="2"/>
  <c r="E106" i="2"/>
  <c r="F106" i="2"/>
  <c r="G106" i="2"/>
  <c r="E107" i="2"/>
  <c r="F107" i="2"/>
  <c r="G107" i="2"/>
  <c r="E108" i="2"/>
  <c r="F108" i="2"/>
  <c r="G108" i="2"/>
  <c r="E109" i="2"/>
  <c r="F109" i="2"/>
  <c r="G109" i="2"/>
  <c r="E110" i="2"/>
  <c r="F110" i="2"/>
  <c r="G110" i="2"/>
  <c r="E111" i="2"/>
  <c r="F111" i="2"/>
  <c r="G111" i="2"/>
  <c r="E112" i="2"/>
  <c r="F112" i="2"/>
  <c r="G112" i="2"/>
  <c r="E113" i="2"/>
  <c r="F113" i="2"/>
  <c r="G113" i="2"/>
  <c r="E114" i="2"/>
  <c r="F114" i="2"/>
  <c r="G114" i="2"/>
  <c r="E115" i="2"/>
  <c r="F115" i="2"/>
  <c r="G115" i="2"/>
  <c r="E116" i="2"/>
  <c r="F116" i="2"/>
  <c r="G116" i="2"/>
  <c r="E117" i="2"/>
  <c r="F117" i="2"/>
  <c r="G117" i="2"/>
  <c r="E118" i="2"/>
  <c r="F118" i="2"/>
  <c r="G118" i="2"/>
  <c r="E119" i="2"/>
  <c r="F119" i="2"/>
  <c r="G119" i="2"/>
  <c r="E120" i="2"/>
  <c r="F120" i="2"/>
  <c r="G120" i="2"/>
  <c r="E121" i="2"/>
  <c r="F121" i="2"/>
  <c r="G121" i="2"/>
  <c r="E122" i="2"/>
  <c r="F122" i="2"/>
  <c r="G122" i="2"/>
  <c r="E123" i="2"/>
  <c r="F123" i="2"/>
  <c r="G123" i="2"/>
  <c r="E124" i="2"/>
  <c r="F124" i="2"/>
  <c r="G124" i="2"/>
  <c r="E125" i="2"/>
  <c r="F125" i="2"/>
  <c r="G125" i="2"/>
  <c r="E126" i="2"/>
  <c r="F126" i="2"/>
  <c r="G126" i="2"/>
  <c r="E127" i="2"/>
  <c r="F127" i="2"/>
  <c r="G127" i="2"/>
  <c r="E128" i="2"/>
  <c r="F128" i="2"/>
  <c r="G128" i="2"/>
  <c r="E129" i="2"/>
  <c r="F129" i="2"/>
  <c r="G129" i="2"/>
  <c r="E130" i="2"/>
  <c r="F130" i="2"/>
  <c r="G130" i="2"/>
  <c r="E131" i="2"/>
  <c r="F131" i="2"/>
  <c r="G131" i="2"/>
  <c r="E132" i="2"/>
  <c r="F132" i="2"/>
  <c r="G132" i="2"/>
  <c r="E133" i="2"/>
  <c r="F133" i="2"/>
  <c r="G133" i="2"/>
  <c r="E134" i="2"/>
  <c r="F134" i="2"/>
  <c r="G134" i="2"/>
  <c r="E135" i="2"/>
  <c r="F135" i="2"/>
  <c r="G135" i="2"/>
  <c r="E136" i="2"/>
  <c r="F136" i="2"/>
  <c r="G136" i="2"/>
  <c r="E137" i="2"/>
  <c r="F137" i="2"/>
  <c r="G137" i="2"/>
  <c r="E138" i="2"/>
  <c r="F138" i="2"/>
  <c r="G138" i="2"/>
  <c r="E139" i="2"/>
  <c r="F139" i="2"/>
  <c r="G139" i="2"/>
  <c r="E140" i="2"/>
  <c r="F140" i="2"/>
  <c r="G140" i="2"/>
  <c r="E141" i="2"/>
  <c r="F141" i="2"/>
  <c r="G141" i="2"/>
  <c r="E142" i="2"/>
  <c r="F142" i="2"/>
  <c r="G142" i="2"/>
  <c r="E143" i="2"/>
  <c r="F143" i="2"/>
  <c r="G143" i="2"/>
  <c r="E144" i="2"/>
  <c r="F144" i="2"/>
  <c r="G144" i="2"/>
  <c r="E145" i="2"/>
  <c r="F145" i="2"/>
  <c r="G145" i="2"/>
  <c r="E146" i="2"/>
  <c r="F146" i="2"/>
  <c r="G146" i="2"/>
  <c r="E147" i="2"/>
  <c r="F147" i="2"/>
  <c r="G147" i="2"/>
  <c r="E148" i="2"/>
  <c r="F148" i="2"/>
  <c r="G148" i="2"/>
  <c r="E149" i="2"/>
  <c r="F149" i="2"/>
  <c r="G149" i="2"/>
  <c r="E150" i="2"/>
  <c r="F150" i="2"/>
  <c r="G150" i="2"/>
  <c r="E151" i="2"/>
  <c r="F151" i="2"/>
  <c r="G151" i="2"/>
  <c r="E152" i="2"/>
  <c r="F152" i="2"/>
  <c r="G152" i="2"/>
  <c r="E153" i="2"/>
  <c r="F153" i="2"/>
  <c r="G153" i="2"/>
  <c r="F3" i="2"/>
  <c r="G3" i="2"/>
  <c r="E3" i="2"/>
  <c r="O15" i="3" l="1"/>
  <c r="M139" i="2"/>
  <c r="M117" i="2"/>
  <c r="M104" i="2"/>
  <c r="M85" i="2"/>
  <c r="L67" i="2"/>
  <c r="M152" i="2"/>
  <c r="M147" i="2"/>
  <c r="L139" i="2"/>
  <c r="M136" i="2"/>
  <c r="L131" i="2"/>
  <c r="M109" i="2"/>
  <c r="M96" i="2"/>
  <c r="L91" i="2"/>
  <c r="L59" i="2"/>
  <c r="L35" i="2"/>
  <c r="L152" i="2"/>
  <c r="L149" i="2"/>
  <c r="K144" i="2"/>
  <c r="M35" i="2"/>
  <c r="L136" i="2"/>
  <c r="L123" i="2"/>
  <c r="L109" i="2"/>
  <c r="L96" i="2"/>
  <c r="M83" i="2"/>
  <c r="K59" i="2"/>
  <c r="M51" i="2"/>
  <c r="M128" i="2"/>
  <c r="L115" i="2"/>
  <c r="M101" i="2"/>
  <c r="M88" i="2"/>
  <c r="L51" i="2"/>
  <c r="M27" i="2"/>
  <c r="K147" i="2"/>
  <c r="K129" i="2"/>
  <c r="L17" i="2"/>
  <c r="M70" i="2"/>
  <c r="K73" i="2"/>
  <c r="M68" i="2"/>
  <c r="K110" i="2"/>
  <c r="M148" i="2"/>
  <c r="M113" i="2"/>
  <c r="M25" i="2"/>
  <c r="M140" i="2"/>
  <c r="K152" i="2"/>
  <c r="K28" i="2"/>
  <c r="K105" i="2"/>
  <c r="M100" i="2"/>
  <c r="M81" i="2"/>
  <c r="L46" i="2"/>
  <c r="K108" i="2"/>
  <c r="L113" i="2"/>
  <c r="M49" i="2"/>
  <c r="M33" i="2"/>
  <c r="L25" i="2"/>
  <c r="K17" i="2"/>
  <c r="K76" i="2"/>
  <c r="M137" i="2"/>
  <c r="L81" i="2"/>
  <c r="K46" i="2"/>
  <c r="M145" i="2"/>
  <c r="K137" i="2"/>
  <c r="M132" i="2"/>
  <c r="M89" i="2"/>
  <c r="M57" i="2"/>
  <c r="L49" i="2"/>
  <c r="M41" i="2"/>
  <c r="L33" i="2"/>
  <c r="M20" i="2"/>
  <c r="K44" i="2"/>
  <c r="M102" i="2"/>
  <c r="K145" i="2"/>
  <c r="M121" i="2"/>
  <c r="L89" i="2"/>
  <c r="L57" i="2"/>
  <c r="L41" i="2"/>
  <c r="M38" i="2"/>
  <c r="L121" i="2"/>
  <c r="M116" i="2"/>
  <c r="M97" i="2"/>
  <c r="M84" i="2"/>
  <c r="M65" i="2"/>
  <c r="M52" i="2"/>
  <c r="M36" i="2"/>
  <c r="L97" i="2"/>
  <c r="L65" i="2"/>
  <c r="K124" i="2"/>
  <c r="K92" i="2"/>
  <c r="K60" i="2"/>
  <c r="M129" i="2"/>
  <c r="M105" i="2"/>
  <c r="M73" i="2"/>
  <c r="K78" i="2"/>
  <c r="K14" i="2"/>
  <c r="M149" i="2"/>
  <c r="L130" i="2"/>
  <c r="L82" i="2"/>
  <c r="L58" i="2"/>
  <c r="L78" i="2"/>
  <c r="M153" i="2"/>
  <c r="M144" i="2"/>
  <c r="K114" i="2"/>
  <c r="L110" i="2"/>
  <c r="K90" i="2"/>
  <c r="K74" i="2"/>
  <c r="K66" i="2"/>
  <c r="L122" i="2"/>
  <c r="L98" i="2"/>
  <c r="L147" i="2"/>
  <c r="M142" i="2"/>
  <c r="L153" i="2"/>
  <c r="L146" i="2"/>
  <c r="L142" i="2"/>
  <c r="K150" i="2"/>
  <c r="K134" i="2"/>
  <c r="K138" i="2"/>
  <c r="L151" i="2"/>
  <c r="L143" i="2"/>
  <c r="L134" i="2"/>
  <c r="L102" i="2"/>
  <c r="L70" i="2"/>
  <c r="L38" i="2"/>
  <c r="K135" i="2"/>
  <c r="M126" i="2"/>
  <c r="M94" i="2"/>
  <c r="M62" i="2"/>
  <c r="M30" i="2"/>
  <c r="K127" i="2"/>
  <c r="L94" i="2"/>
  <c r="L62" i="2"/>
  <c r="L30" i="2"/>
  <c r="K119" i="2"/>
  <c r="M150" i="2"/>
  <c r="K126" i="2"/>
  <c r="M118" i="2"/>
  <c r="M86" i="2"/>
  <c r="M54" i="2"/>
  <c r="M22" i="2"/>
  <c r="K151" i="2"/>
  <c r="L150" i="2"/>
  <c r="L118" i="2"/>
  <c r="L86" i="2"/>
  <c r="L54" i="2"/>
  <c r="L22" i="2"/>
  <c r="K143" i="2"/>
  <c r="M14" i="2"/>
  <c r="L14" i="2"/>
  <c r="M146" i="2"/>
  <c r="M138" i="2"/>
  <c r="M130" i="2"/>
  <c r="M122" i="2"/>
  <c r="M114" i="2"/>
  <c r="M106" i="2"/>
  <c r="M98" i="2"/>
  <c r="M90" i="2"/>
  <c r="M82" i="2"/>
  <c r="M74" i="2"/>
  <c r="M66" i="2"/>
  <c r="M58" i="2"/>
  <c r="M50" i="2"/>
  <c r="M42" i="2"/>
  <c r="M34" i="2"/>
  <c r="M26" i="2"/>
  <c r="M18" i="2"/>
  <c r="M151" i="2"/>
  <c r="M143" i="2"/>
  <c r="M135" i="2"/>
  <c r="M127" i="2"/>
  <c r="M119" i="2"/>
  <c r="M111" i="2"/>
  <c r="M103" i="2"/>
  <c r="M95" i="2"/>
  <c r="M87" i="2"/>
  <c r="M79" i="2"/>
  <c r="M71" i="2"/>
  <c r="M63" i="2"/>
  <c r="M55" i="2"/>
  <c r="M47" i="2"/>
  <c r="M39" i="2"/>
  <c r="M31" i="2"/>
  <c r="M23" i="2"/>
  <c r="M15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P15" i="3" l="1"/>
  <c r="Q15" i="3"/>
  <c r="O16" i="3"/>
  <c r="N15" i="2"/>
  <c r="P16" i="3" l="1"/>
  <c r="Q16" i="3"/>
  <c r="O17" i="3"/>
  <c r="Q17" i="3" s="1"/>
  <c r="N16" i="2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P17" i="3" l="1"/>
  <c r="O18" i="3"/>
  <c r="Q18" i="3" s="1"/>
  <c r="R2" i="2"/>
  <c r="R3" i="2" s="1"/>
  <c r="R4" i="2" s="1"/>
  <c r="P18" i="3" l="1"/>
  <c r="O19" i="3"/>
  <c r="Q19" i="3" s="1"/>
  <c r="P19" i="3" l="1"/>
  <c r="O20" i="3"/>
  <c r="Q20" i="3" s="1"/>
  <c r="P20" i="3" l="1"/>
  <c r="O21" i="3"/>
  <c r="Q21" i="3" s="1"/>
  <c r="P21" i="3" l="1"/>
  <c r="O22" i="3"/>
  <c r="Q22" i="3" s="1"/>
  <c r="P22" i="3" l="1"/>
  <c r="O23" i="3"/>
  <c r="Q23" i="3" s="1"/>
  <c r="O24" i="3" l="1"/>
  <c r="Q24" i="3" s="1"/>
  <c r="P23" i="3"/>
  <c r="P24" i="3" l="1"/>
  <c r="O25" i="3"/>
  <c r="Q25" i="3" s="1"/>
  <c r="P25" i="3" l="1"/>
  <c r="O26" i="3"/>
  <c r="Q26" i="3" s="1"/>
  <c r="P26" i="3" l="1"/>
  <c r="O27" i="3"/>
  <c r="Q27" i="3" s="1"/>
  <c r="P27" i="3" l="1"/>
  <c r="O28" i="3"/>
  <c r="Q28" i="3" s="1"/>
  <c r="P28" i="3" l="1"/>
  <c r="O29" i="3"/>
  <c r="Q29" i="3" s="1"/>
  <c r="O30" i="3" l="1"/>
  <c r="Q30" i="3" s="1"/>
  <c r="P29" i="3"/>
  <c r="P30" i="3" l="1"/>
  <c r="O31" i="3"/>
  <c r="Q31" i="3" s="1"/>
  <c r="O32" i="3" l="1"/>
  <c r="Q32" i="3" s="1"/>
  <c r="P31" i="3"/>
  <c r="P32" i="3" l="1"/>
  <c r="O33" i="3"/>
  <c r="Q33" i="3" s="1"/>
  <c r="P33" i="3" l="1"/>
  <c r="O34" i="3"/>
  <c r="Q34" i="3" s="1"/>
  <c r="P34" i="3" l="1"/>
  <c r="O35" i="3"/>
  <c r="Q35" i="3" s="1"/>
  <c r="P35" i="3" l="1"/>
  <c r="O36" i="3"/>
  <c r="Q36" i="3" s="1"/>
  <c r="P36" i="3" l="1"/>
  <c r="O37" i="3"/>
  <c r="Q37" i="3" s="1"/>
  <c r="P37" i="3" l="1"/>
  <c r="O38" i="3"/>
  <c r="Q38" i="3" s="1"/>
  <c r="P38" i="3" l="1"/>
  <c r="O39" i="3"/>
  <c r="Q39" i="3" s="1"/>
  <c r="P39" i="3" l="1"/>
  <c r="O40" i="3"/>
  <c r="Q40" i="3" s="1"/>
  <c r="P40" i="3" l="1"/>
  <c r="O41" i="3"/>
  <c r="Q41" i="3" s="1"/>
  <c r="P41" i="3" l="1"/>
  <c r="O42" i="3"/>
  <c r="Q42" i="3" s="1"/>
  <c r="O43" i="3" l="1"/>
  <c r="Q43" i="3" s="1"/>
  <c r="P42" i="3"/>
  <c r="P43" i="3" l="1"/>
  <c r="O44" i="3"/>
  <c r="Q44" i="3" s="1"/>
  <c r="P44" i="3" l="1"/>
  <c r="O45" i="3"/>
  <c r="Q45" i="3" s="1"/>
  <c r="P45" i="3" l="1"/>
  <c r="O46" i="3"/>
  <c r="Q46" i="3" s="1"/>
  <c r="P46" i="3" l="1"/>
  <c r="O47" i="3"/>
  <c r="Q47" i="3" s="1"/>
  <c r="P47" i="3" l="1"/>
  <c r="O48" i="3"/>
  <c r="Q48" i="3" s="1"/>
  <c r="P48" i="3" l="1"/>
  <c r="O49" i="3"/>
  <c r="Q49" i="3" s="1"/>
  <c r="P49" i="3" l="1"/>
  <c r="O50" i="3"/>
  <c r="Q50" i="3" s="1"/>
  <c r="P50" i="3" l="1"/>
  <c r="O51" i="3"/>
  <c r="Q51" i="3" s="1"/>
  <c r="P51" i="3" l="1"/>
  <c r="O52" i="3"/>
  <c r="Q52" i="3" s="1"/>
  <c r="O53" i="3" l="1"/>
  <c r="Q53" i="3" s="1"/>
  <c r="P52" i="3"/>
  <c r="O54" i="3" l="1"/>
  <c r="Q54" i="3" s="1"/>
  <c r="P53" i="3"/>
  <c r="P54" i="3" l="1"/>
  <c r="O55" i="3"/>
  <c r="Q55" i="3" s="1"/>
  <c r="P55" i="3" l="1"/>
  <c r="O56" i="3"/>
  <c r="Q56" i="3" s="1"/>
  <c r="P56" i="3" l="1"/>
  <c r="O57" i="3"/>
  <c r="Q57" i="3" s="1"/>
  <c r="P57" i="3" l="1"/>
  <c r="O58" i="3"/>
  <c r="Q58" i="3" s="1"/>
  <c r="P58" i="3" l="1"/>
  <c r="O59" i="3"/>
  <c r="Q59" i="3" s="1"/>
  <c r="O60" i="3" l="1"/>
  <c r="Q60" i="3" s="1"/>
  <c r="P59" i="3"/>
  <c r="O61" i="3" l="1"/>
  <c r="Q61" i="3" s="1"/>
  <c r="P60" i="3"/>
  <c r="P61" i="3" l="1"/>
  <c r="O62" i="3"/>
  <c r="Q62" i="3" s="1"/>
  <c r="P62" i="3" l="1"/>
  <c r="O63" i="3"/>
  <c r="Q63" i="3" s="1"/>
  <c r="P63" i="3" l="1"/>
  <c r="O64" i="3"/>
  <c r="Q64" i="3" s="1"/>
  <c r="P64" i="3" l="1"/>
  <c r="O65" i="3"/>
  <c r="Q65" i="3" s="1"/>
  <c r="P65" i="3" l="1"/>
  <c r="O66" i="3"/>
  <c r="Q66" i="3" s="1"/>
  <c r="P66" i="3" l="1"/>
  <c r="O67" i="3"/>
  <c r="Q67" i="3" s="1"/>
  <c r="O68" i="3" l="1"/>
  <c r="Q68" i="3" s="1"/>
  <c r="P67" i="3"/>
  <c r="O69" i="3" l="1"/>
  <c r="Q69" i="3" s="1"/>
  <c r="P68" i="3"/>
  <c r="O70" i="3" l="1"/>
  <c r="Q70" i="3" s="1"/>
  <c r="P69" i="3"/>
  <c r="P70" i="3" l="1"/>
  <c r="O71" i="3"/>
  <c r="Q71" i="3" s="1"/>
  <c r="O72" i="3" l="1"/>
  <c r="Q72" i="3" s="1"/>
  <c r="P71" i="3"/>
  <c r="P72" i="3" l="1"/>
  <c r="O73" i="3"/>
  <c r="Q73" i="3" s="1"/>
  <c r="P73" i="3" l="1"/>
  <c r="O74" i="3"/>
  <c r="Q74" i="3" s="1"/>
  <c r="P74" i="3" l="1"/>
  <c r="O75" i="3"/>
  <c r="Q75" i="3" s="1"/>
  <c r="P75" i="3" l="1"/>
  <c r="O76" i="3"/>
  <c r="Q76" i="3" s="1"/>
  <c r="O77" i="3" l="1"/>
  <c r="Q77" i="3" s="1"/>
  <c r="P76" i="3"/>
  <c r="P77" i="3" l="1"/>
  <c r="O78" i="3"/>
  <c r="Q78" i="3" s="1"/>
  <c r="P78" i="3" l="1"/>
  <c r="O79" i="3"/>
  <c r="Q79" i="3" s="1"/>
  <c r="O80" i="3" l="1"/>
  <c r="Q80" i="3" s="1"/>
  <c r="P79" i="3"/>
  <c r="P80" i="3" l="1"/>
  <c r="O81" i="3"/>
  <c r="Q81" i="3" s="1"/>
  <c r="P81" i="3" l="1"/>
  <c r="O82" i="3"/>
  <c r="Q82" i="3" s="1"/>
  <c r="P82" i="3" l="1"/>
  <c r="O83" i="3"/>
  <c r="Q83" i="3" s="1"/>
  <c r="O84" i="3" l="1"/>
  <c r="Q84" i="3" s="1"/>
  <c r="P83" i="3"/>
  <c r="O85" i="3" l="1"/>
  <c r="Q85" i="3" s="1"/>
  <c r="P84" i="3"/>
  <c r="P85" i="3" l="1"/>
  <c r="O86" i="3"/>
  <c r="Q86" i="3" s="1"/>
  <c r="P86" i="3" l="1"/>
  <c r="O87" i="3"/>
  <c r="Q87" i="3" s="1"/>
  <c r="O88" i="3" l="1"/>
  <c r="Q88" i="3" s="1"/>
  <c r="P87" i="3"/>
  <c r="P88" i="3" l="1"/>
  <c r="O89" i="3"/>
  <c r="Q89" i="3" s="1"/>
  <c r="P89" i="3" l="1"/>
  <c r="O90" i="3"/>
  <c r="Q90" i="3" s="1"/>
  <c r="P90" i="3" l="1"/>
  <c r="O91" i="3"/>
  <c r="Q91" i="3" s="1"/>
  <c r="P91" i="3" l="1"/>
  <c r="O92" i="3"/>
  <c r="Q92" i="3" s="1"/>
  <c r="P92" i="3" l="1"/>
  <c r="O93" i="3"/>
  <c r="Q93" i="3" s="1"/>
  <c r="P93" i="3" l="1"/>
  <c r="O94" i="3"/>
  <c r="Q94" i="3" s="1"/>
  <c r="O95" i="3" l="1"/>
  <c r="Q95" i="3" s="1"/>
  <c r="P94" i="3"/>
  <c r="P95" i="3" l="1"/>
  <c r="O96" i="3"/>
  <c r="Q96" i="3" s="1"/>
  <c r="P96" i="3" l="1"/>
  <c r="O97" i="3"/>
  <c r="Q97" i="3" s="1"/>
  <c r="O98" i="3" l="1"/>
  <c r="Q98" i="3" s="1"/>
  <c r="P97" i="3"/>
  <c r="O99" i="3" l="1"/>
  <c r="Q99" i="3" s="1"/>
  <c r="P98" i="3"/>
  <c r="P99" i="3" l="1"/>
  <c r="O100" i="3"/>
  <c r="Q100" i="3" s="1"/>
  <c r="P100" i="3" l="1"/>
  <c r="O101" i="3"/>
  <c r="Q101" i="3" s="1"/>
  <c r="O102" i="3" l="1"/>
  <c r="Q102" i="3" s="1"/>
  <c r="P101" i="3"/>
  <c r="P102" i="3" l="1"/>
  <c r="O103" i="3"/>
  <c r="Q103" i="3" s="1"/>
  <c r="P103" i="3" l="1"/>
  <c r="O104" i="3"/>
  <c r="Q104" i="3" s="1"/>
  <c r="P104" i="3" l="1"/>
  <c r="O105" i="3"/>
  <c r="Q105" i="3" s="1"/>
  <c r="O106" i="3" l="1"/>
  <c r="Q106" i="3" s="1"/>
  <c r="P105" i="3"/>
  <c r="P106" i="3" l="1"/>
  <c r="O107" i="3"/>
  <c r="Q107" i="3" s="1"/>
  <c r="P107" i="3" l="1"/>
  <c r="O108" i="3"/>
  <c r="Q108" i="3" s="1"/>
  <c r="P108" i="3" l="1"/>
  <c r="O109" i="3"/>
  <c r="Q109" i="3" s="1"/>
  <c r="P109" i="3" l="1"/>
  <c r="O110" i="3"/>
  <c r="Q110" i="3" s="1"/>
  <c r="P110" i="3" l="1"/>
  <c r="O111" i="3"/>
  <c r="Q111" i="3" s="1"/>
  <c r="P111" i="3" l="1"/>
  <c r="O112" i="3"/>
  <c r="Q112" i="3" s="1"/>
  <c r="P112" i="3" l="1"/>
  <c r="O113" i="3"/>
  <c r="Q113" i="3" s="1"/>
  <c r="P113" i="3" l="1"/>
  <c r="O114" i="3"/>
  <c r="Q114" i="3" s="1"/>
  <c r="O115" i="3" l="1"/>
  <c r="Q115" i="3" s="1"/>
  <c r="P114" i="3"/>
  <c r="P115" i="3" l="1"/>
  <c r="O116" i="3"/>
  <c r="Q116" i="3" s="1"/>
  <c r="P116" i="3" l="1"/>
  <c r="O117" i="3"/>
  <c r="Q117" i="3" s="1"/>
  <c r="P117" i="3" l="1"/>
  <c r="O118" i="3"/>
  <c r="Q118" i="3" s="1"/>
  <c r="P118" i="3" l="1"/>
  <c r="O119" i="3"/>
  <c r="Q119" i="3" s="1"/>
  <c r="O120" i="3" l="1"/>
  <c r="Q120" i="3" s="1"/>
  <c r="P119" i="3"/>
  <c r="P120" i="3" l="1"/>
  <c r="O121" i="3"/>
  <c r="Q121" i="3" s="1"/>
  <c r="P121" i="3" l="1"/>
  <c r="O122" i="3"/>
  <c r="Q122" i="3" s="1"/>
  <c r="O123" i="3" l="1"/>
  <c r="Q123" i="3" s="1"/>
  <c r="P122" i="3"/>
  <c r="P123" i="3" l="1"/>
  <c r="O124" i="3"/>
  <c r="Q124" i="3" s="1"/>
  <c r="P124" i="3" l="1"/>
  <c r="O125" i="3"/>
  <c r="Q125" i="3" s="1"/>
  <c r="P125" i="3" l="1"/>
  <c r="O126" i="3"/>
  <c r="Q126" i="3" s="1"/>
  <c r="P126" i="3" l="1"/>
  <c r="O127" i="3"/>
  <c r="Q127" i="3" s="1"/>
  <c r="P127" i="3" l="1"/>
  <c r="O128" i="3"/>
  <c r="Q128" i="3" s="1"/>
  <c r="P128" i="3" l="1"/>
  <c r="O129" i="3"/>
  <c r="Q129" i="3" s="1"/>
  <c r="P129" i="3" l="1"/>
  <c r="O130" i="3"/>
  <c r="Q130" i="3" s="1"/>
  <c r="P130" i="3" l="1"/>
  <c r="O131" i="3"/>
  <c r="Q131" i="3" s="1"/>
  <c r="P131" i="3" l="1"/>
  <c r="O132" i="3"/>
  <c r="Q132" i="3" s="1"/>
  <c r="O133" i="3" l="1"/>
  <c r="Q133" i="3" s="1"/>
  <c r="P132" i="3"/>
  <c r="P133" i="3" l="1"/>
  <c r="O134" i="3"/>
  <c r="Q134" i="3" s="1"/>
  <c r="P134" i="3" l="1"/>
  <c r="O135" i="3"/>
  <c r="Q135" i="3" s="1"/>
  <c r="P135" i="3" l="1"/>
  <c r="O136" i="3"/>
  <c r="Q136" i="3" s="1"/>
  <c r="P136" i="3" l="1"/>
  <c r="O137" i="3"/>
  <c r="Q137" i="3" s="1"/>
  <c r="P137" i="3" l="1"/>
  <c r="O138" i="3"/>
  <c r="Q138" i="3" s="1"/>
  <c r="P138" i="3" l="1"/>
  <c r="O139" i="3"/>
  <c r="Q139" i="3" s="1"/>
  <c r="P139" i="3" l="1"/>
  <c r="O140" i="3"/>
  <c r="Q140" i="3" s="1"/>
  <c r="O141" i="3" l="1"/>
  <c r="Q141" i="3" s="1"/>
  <c r="P140" i="3"/>
  <c r="P141" i="3" l="1"/>
  <c r="O142" i="3"/>
  <c r="Q142" i="3" s="1"/>
  <c r="P142" i="3" l="1"/>
  <c r="O143" i="3"/>
  <c r="Q143" i="3" s="1"/>
  <c r="P143" i="3" l="1"/>
  <c r="O144" i="3"/>
  <c r="Q144" i="3" s="1"/>
  <c r="P144" i="3" l="1"/>
  <c r="O145" i="3"/>
  <c r="Q145" i="3" s="1"/>
  <c r="P145" i="3" l="1"/>
  <c r="O146" i="3"/>
  <c r="Q146" i="3" s="1"/>
  <c r="P146" i="3" l="1"/>
  <c r="O147" i="3"/>
  <c r="Q147" i="3" s="1"/>
  <c r="P147" i="3" l="1"/>
  <c r="O148" i="3"/>
  <c r="Q148" i="3" s="1"/>
  <c r="O149" i="3" l="1"/>
  <c r="Q149" i="3" s="1"/>
  <c r="P148" i="3"/>
  <c r="P149" i="3" l="1"/>
  <c r="O150" i="3"/>
  <c r="Q150" i="3" s="1"/>
  <c r="P150" i="3" l="1"/>
  <c r="O151" i="3"/>
  <c r="Q151" i="3" s="1"/>
  <c r="O152" i="3" l="1"/>
  <c r="Q152" i="3" s="1"/>
  <c r="P151" i="3"/>
  <c r="P152" i="3" l="1"/>
  <c r="O153" i="3"/>
  <c r="S2" i="3"/>
  <c r="S3" i="3" s="1"/>
  <c r="S4" i="3" s="1"/>
  <c r="P153" i="3" l="1"/>
  <c r="S5" i="3" s="1"/>
  <c r="Q153" i="3"/>
</calcChain>
</file>

<file path=xl/sharedStrings.xml><?xml version="1.0" encoding="utf-8"?>
<sst xmlns="http://schemas.openxmlformats.org/spreadsheetml/2006/main" count="1229" uniqueCount="413">
  <si>
    <t>tiger200</t>
  </si>
  <si>
    <t>treasury10</t>
  </si>
  <si>
    <t>treasury3</t>
  </si>
  <si>
    <t>Date</t>
  </si>
  <si>
    <t>19387</t>
  </si>
  <si>
    <t>19571</t>
  </si>
  <si>
    <t>18518</t>
  </si>
  <si>
    <t>16837</t>
  </si>
  <si>
    <t>15757</t>
  </si>
  <si>
    <t>15290</t>
  </si>
  <si>
    <t>12149</t>
  </si>
  <si>
    <t>12134</t>
  </si>
  <si>
    <t>12296</t>
  </si>
  <si>
    <t>12710</t>
  </si>
  <si>
    <t>11516</t>
  </si>
  <si>
    <t>13181</t>
  </si>
  <si>
    <t>14664</t>
  </si>
  <si>
    <t>14943</t>
  </si>
  <si>
    <t>15162</t>
  </si>
  <si>
    <t>16958</t>
  </si>
  <si>
    <t>17266</t>
  </si>
  <si>
    <t>18351</t>
  </si>
  <si>
    <t>17214</t>
  </si>
  <si>
    <t>17054</t>
  </si>
  <si>
    <t>18677</t>
  </si>
  <si>
    <t>17689</t>
  </si>
  <si>
    <t>17545</t>
  </si>
  <si>
    <t>18669</t>
  </si>
  <si>
    <t>19220</t>
  </si>
  <si>
    <t>20101</t>
  </si>
  <si>
    <t>18572</t>
  </si>
  <si>
    <t>19348</t>
  </si>
  <si>
    <t>19072</t>
  </si>
  <si>
    <t>20433</t>
  </si>
  <si>
    <t>20419</t>
  </si>
  <si>
    <t>21084</t>
  </si>
  <si>
    <t>23092</t>
  </si>
  <si>
    <t>23234</t>
  </si>
  <si>
    <t>21886</t>
  </si>
  <si>
    <t>23728</t>
  </si>
  <si>
    <t>24656</t>
  </si>
  <si>
    <t>24133</t>
  </si>
  <si>
    <t>23481</t>
  </si>
  <si>
    <t>23614</t>
  </si>
  <si>
    <t>20638</t>
  </si>
  <si>
    <t>19623</t>
  </si>
  <si>
    <t>21305</t>
  </si>
  <si>
    <t>20633</t>
  </si>
  <si>
    <t>20569</t>
  </si>
  <si>
    <t>22122</t>
  </si>
  <si>
    <t>22973</t>
  </si>
  <si>
    <t>23041</t>
  </si>
  <si>
    <t>22807</t>
  </si>
  <si>
    <t>21032</t>
  </si>
  <si>
    <t>21153</t>
  </si>
  <si>
    <t>21594</t>
  </si>
  <si>
    <t>21614</t>
  </si>
  <si>
    <t>22655</t>
  </si>
  <si>
    <t>21650</t>
  </si>
  <si>
    <t>22038</t>
  </si>
  <si>
    <t>22984</t>
  </si>
  <si>
    <t>22509</t>
  </si>
  <si>
    <t>23429</t>
  </si>
  <si>
    <t>23044</t>
  </si>
  <si>
    <t>22375</t>
  </si>
  <si>
    <t>22861</t>
  </si>
  <si>
    <t>21128</t>
  </si>
  <si>
    <t>21697</t>
  </si>
  <si>
    <t>21983</t>
  </si>
  <si>
    <t>22869</t>
  </si>
  <si>
    <t>23453</t>
  </si>
  <si>
    <t>23643</t>
  </si>
  <si>
    <t>23368</t>
  </si>
  <si>
    <t>22443</t>
  </si>
  <si>
    <t>22793</t>
  </si>
  <si>
    <t>22790</t>
  </si>
  <si>
    <t>22561</t>
  </si>
  <si>
    <t>23067</t>
  </si>
  <si>
    <t>22971</t>
  </si>
  <si>
    <t>23901</t>
  </si>
  <si>
    <t>23452</t>
  </si>
  <si>
    <t>22771</t>
  </si>
  <si>
    <t>22144</t>
  </si>
  <si>
    <t>22438</t>
  </si>
  <si>
    <t>21831</t>
  </si>
  <si>
    <t>22497</t>
  </si>
  <si>
    <t>22550</t>
  </si>
  <si>
    <t>23038</t>
  </si>
  <si>
    <t>23904</t>
  </si>
  <si>
    <t>23351</t>
  </si>
  <si>
    <t>22615</t>
  </si>
  <si>
    <t>21820</t>
  </si>
  <si>
    <t>20765</t>
  </si>
  <si>
    <t>21227</t>
  </si>
  <si>
    <t>22445</t>
  </si>
  <si>
    <t>21993</t>
  </si>
  <si>
    <t>21934</t>
  </si>
  <si>
    <t>21148</t>
  </si>
  <si>
    <t>21487</t>
  </si>
  <si>
    <t>22414</t>
  </si>
  <si>
    <t>22380</t>
  </si>
  <si>
    <t>22233</t>
  </si>
  <si>
    <t>22304</t>
  </si>
  <si>
    <t>23018</t>
  </si>
  <si>
    <t>23458</t>
  </si>
  <si>
    <t>23532</t>
  </si>
  <si>
    <t>23399</t>
  </si>
  <si>
    <t>23287</t>
  </si>
  <si>
    <t>24126</t>
  </si>
  <si>
    <t>24956</t>
  </si>
  <si>
    <t>25089</t>
  </si>
  <si>
    <t>26148</t>
  </si>
  <si>
    <t>26745</t>
  </si>
  <si>
    <t>28438</t>
  </si>
  <si>
    <t>29147</t>
  </si>
  <si>
    <t>29374</t>
  </si>
  <si>
    <t>28767</t>
  </si>
  <si>
    <t>29607</t>
  </si>
  <si>
    <t>31220</t>
  </si>
  <si>
    <t>30389</t>
  </si>
  <si>
    <t>30684</t>
  </si>
  <si>
    <t>31523</t>
  </si>
  <si>
    <t>29625</t>
  </si>
  <si>
    <t>29896</t>
  </si>
  <si>
    <t>30603</t>
  </si>
  <si>
    <t>29526</t>
  </si>
  <si>
    <t>28517</t>
  </si>
  <si>
    <t>28346</t>
  </si>
  <si>
    <t>28508</t>
  </si>
  <si>
    <t>28679</t>
  </si>
  <si>
    <t>25188</t>
  </si>
  <si>
    <t>25943</t>
  </si>
  <si>
    <t>25392</t>
  </si>
  <si>
    <t>27745</t>
  </si>
  <si>
    <t>27590</t>
  </si>
  <si>
    <t>26986</t>
  </si>
  <si>
    <t>27707</t>
  </si>
  <si>
    <t>25616</t>
  </si>
  <si>
    <t>27070</t>
  </si>
  <si>
    <t>26000</t>
  </si>
  <si>
    <t>25245</t>
  </si>
  <si>
    <t>26732</t>
  </si>
  <si>
    <t>27013</t>
  </si>
  <si>
    <t>27082</t>
  </si>
  <si>
    <t>29123</t>
  </si>
  <si>
    <t>28267</t>
  </si>
  <si>
    <t>26628</t>
  </si>
  <si>
    <t>25703</t>
  </si>
  <si>
    <t>26649</t>
  </si>
  <si>
    <t>27943</t>
  </si>
  <si>
    <t>29864</t>
  </si>
  <si>
    <t>30647</t>
  </si>
  <si>
    <t>30951</t>
  </si>
  <si>
    <t>30175</t>
  </si>
  <si>
    <t>34115</t>
  </si>
  <si>
    <t>85248</t>
  </si>
  <si>
    <t>86123</t>
  </si>
  <si>
    <t>86510</t>
  </si>
  <si>
    <t>86848</t>
  </si>
  <si>
    <t>86819</t>
  </si>
  <si>
    <t>86324</t>
  </si>
  <si>
    <t>87266</t>
  </si>
  <si>
    <t>88339</t>
  </si>
  <si>
    <t>88911</t>
  </si>
  <si>
    <t>91911</t>
  </si>
  <si>
    <t>92835</t>
  </si>
  <si>
    <t>93201</t>
  </si>
  <si>
    <t>93615</t>
  </si>
  <si>
    <t>93506</t>
  </si>
  <si>
    <t>92932</t>
  </si>
  <si>
    <t>93625</t>
  </si>
  <si>
    <t>94761</t>
  </si>
  <si>
    <t>95884</t>
  </si>
  <si>
    <t>96371</t>
  </si>
  <si>
    <t>94457</t>
  </si>
  <si>
    <t>92582</t>
  </si>
  <si>
    <t>92266</t>
  </si>
  <si>
    <t>92467</t>
  </si>
  <si>
    <t>93635</t>
  </si>
  <si>
    <t>94059</t>
  </si>
  <si>
    <t>92521</t>
  </si>
  <si>
    <t>93495</t>
  </si>
  <si>
    <t>93357</t>
  </si>
  <si>
    <t>94465</t>
  </si>
  <si>
    <t>94726</t>
  </si>
  <si>
    <t>94909</t>
  </si>
  <si>
    <t>96520</t>
  </si>
  <si>
    <t>98089</t>
  </si>
  <si>
    <t>99072</t>
  </si>
  <si>
    <t>99461</t>
  </si>
  <si>
    <t>101107</t>
  </si>
  <si>
    <t>103080</t>
  </si>
  <si>
    <t>103742</t>
  </si>
  <si>
    <t>103933</t>
  </si>
  <si>
    <t>107009</t>
  </si>
  <si>
    <t>106254</t>
  </si>
  <si>
    <t>108262</t>
  </si>
  <si>
    <t>106442</t>
  </si>
  <si>
    <t>107170</t>
  </si>
  <si>
    <t>106471</t>
  </si>
  <si>
    <t>107059</t>
  </si>
  <si>
    <t>108381</t>
  </si>
  <si>
    <t>110499</t>
  </si>
  <si>
    <t>110227</t>
  </si>
  <si>
    <t>109173</t>
  </si>
  <si>
    <t>110793</t>
  </si>
  <si>
    <t>111747</t>
  </si>
  <si>
    <t>113826</t>
  </si>
  <si>
    <t>113907</t>
  </si>
  <si>
    <t>114053</t>
  </si>
  <si>
    <t>114157</t>
  </si>
  <si>
    <t>117583</t>
  </si>
  <si>
    <t>118528</t>
  </si>
  <si>
    <t>117578</t>
  </si>
  <si>
    <t>118453</t>
  </si>
  <si>
    <t>115797</t>
  </si>
  <si>
    <t>111856</t>
  </si>
  <si>
    <t>112641</t>
  </si>
  <si>
    <t>111894</t>
  </si>
  <si>
    <t>112105</t>
  </si>
  <si>
    <t>112163</t>
  </si>
  <si>
    <t>112176</t>
  </si>
  <si>
    <t>112306</t>
  </si>
  <si>
    <t>112402</t>
  </si>
  <si>
    <t>112421</t>
  </si>
  <si>
    <t>112383</t>
  </si>
  <si>
    <t>111415</t>
  </si>
  <si>
    <t>110033</t>
  </si>
  <si>
    <t>110989</t>
  </si>
  <si>
    <t>111047</t>
  </si>
  <si>
    <t>108678</t>
  </si>
  <si>
    <t>109305</t>
  </si>
  <si>
    <t>110563</t>
  </si>
  <si>
    <t>110099</t>
  </si>
  <si>
    <t>110487</t>
  </si>
  <si>
    <t>111828</t>
  </si>
  <si>
    <t>112143</t>
  </si>
  <si>
    <t>114388</t>
  </si>
  <si>
    <t>114316</t>
  </si>
  <si>
    <t>115498</t>
  </si>
  <si>
    <t>117083</t>
  </si>
  <si>
    <t>118581</t>
  </si>
  <si>
    <t>118063</t>
  </si>
  <si>
    <t>118605</t>
  </si>
  <si>
    <t>120476</t>
  </si>
  <si>
    <t>120462</t>
  </si>
  <si>
    <t>122201</t>
  </si>
  <si>
    <t>123046</t>
  </si>
  <si>
    <t>125229</t>
  </si>
  <si>
    <t>126578</t>
  </si>
  <si>
    <t>124907</t>
  </si>
  <si>
    <t>122235</t>
  </si>
  <si>
    <t>123534</t>
  </si>
  <si>
    <t>123030</t>
  </si>
  <si>
    <t>124535</t>
  </si>
  <si>
    <t>126825</t>
  </si>
  <si>
    <t>124740</t>
  </si>
  <si>
    <t>125395</t>
  </si>
  <si>
    <t>127130</t>
  </si>
  <si>
    <t>127320</t>
  </si>
  <si>
    <t>128505</t>
  </si>
  <si>
    <t>126305</t>
  </si>
  <si>
    <t>127360</t>
  </si>
  <si>
    <t>126345</t>
  </si>
  <si>
    <t>125830</t>
  </si>
  <si>
    <t>77927</t>
  </si>
  <si>
    <t>77657</t>
  </si>
  <si>
    <t>78114</t>
  </si>
  <si>
    <t>78127</t>
  </si>
  <si>
    <t>79300</t>
  </si>
  <si>
    <t>78933</t>
  </si>
  <si>
    <t>79583</t>
  </si>
  <si>
    <t>80292</t>
  </si>
  <si>
    <t>81065</t>
  </si>
  <si>
    <t>81891</t>
  </si>
  <si>
    <t>82039</t>
  </si>
  <si>
    <t>81941</t>
  </si>
  <si>
    <t>82402</t>
  </si>
  <si>
    <t>83371</t>
  </si>
  <si>
    <t>84243</t>
  </si>
  <si>
    <t>84387</t>
  </si>
  <si>
    <t>84716</t>
  </si>
  <si>
    <t>84576</t>
  </si>
  <si>
    <t>83776</t>
  </si>
  <si>
    <t>84524</t>
  </si>
  <si>
    <t>85006</t>
  </si>
  <si>
    <t>85225</t>
  </si>
  <si>
    <t>85886</t>
  </si>
  <si>
    <t>85687</t>
  </si>
  <si>
    <t>85907</t>
  </si>
  <si>
    <t>87028</t>
  </si>
  <si>
    <t>87181</t>
  </si>
  <si>
    <t>87416</t>
  </si>
  <si>
    <t>88066</t>
  </si>
  <si>
    <t>88443</t>
  </si>
  <si>
    <t>88550</t>
  </si>
  <si>
    <t>88669</t>
  </si>
  <si>
    <t>88634</t>
  </si>
  <si>
    <t>89168</t>
  </si>
  <si>
    <t>89749</t>
  </si>
  <si>
    <t>90048</t>
  </si>
  <si>
    <t>91413</t>
  </si>
  <si>
    <t>91853</t>
  </si>
  <si>
    <t>92046</t>
  </si>
  <si>
    <t>92295</t>
  </si>
  <si>
    <t>92343</t>
  </si>
  <si>
    <t>92545</t>
  </si>
  <si>
    <t>92891</t>
  </si>
  <si>
    <t>93468</t>
  </si>
  <si>
    <t>94067</t>
  </si>
  <si>
    <t>94228</t>
  </si>
  <si>
    <t>93657</t>
  </si>
  <si>
    <t>93514</t>
  </si>
  <si>
    <t>93526</t>
  </si>
  <si>
    <t>93921</t>
  </si>
  <si>
    <t>94354</t>
  </si>
  <si>
    <t>94599</t>
  </si>
  <si>
    <t>94292</t>
  </si>
  <si>
    <t>94875</t>
  </si>
  <si>
    <t>95026</t>
  </si>
  <si>
    <t>95443</t>
  </si>
  <si>
    <t>95611</t>
  </si>
  <si>
    <t>96324</t>
  </si>
  <si>
    <t>96926</t>
  </si>
  <si>
    <t>97573</t>
  </si>
  <si>
    <t>97810</t>
  </si>
  <si>
    <t>98604</t>
  </si>
  <si>
    <t>99365</t>
  </si>
  <si>
    <t>99674</t>
  </si>
  <si>
    <t>99751</t>
  </si>
  <si>
    <t>100451</t>
  </si>
  <si>
    <t>100431</t>
  </si>
  <si>
    <t>101494</t>
  </si>
  <si>
    <t>101179</t>
  </si>
  <si>
    <t>101600</t>
  </si>
  <si>
    <t>101597</t>
  </si>
  <si>
    <t>101869</t>
  </si>
  <si>
    <t>102158</t>
  </si>
  <si>
    <t>102828</t>
  </si>
  <si>
    <t>102722</t>
  </si>
  <si>
    <t>102426</t>
  </si>
  <si>
    <t>102979</t>
  </si>
  <si>
    <t>103367</t>
  </si>
  <si>
    <t>103899</t>
  </si>
  <si>
    <t>104039</t>
  </si>
  <si>
    <t>104126</t>
  </si>
  <si>
    <t>105004</t>
  </si>
  <si>
    <t>105238</t>
  </si>
  <si>
    <t>105068</t>
  </si>
  <si>
    <t>105323</t>
  </si>
  <si>
    <t>104780</t>
  </si>
  <si>
    <t>103978</t>
  </si>
  <si>
    <t>104421</t>
  </si>
  <si>
    <t>104408</t>
  </si>
  <si>
    <t>104586</t>
  </si>
  <si>
    <t>104833</t>
  </si>
  <si>
    <t>104900</t>
  </si>
  <si>
    <t>105063</t>
  </si>
  <si>
    <t>105071</t>
  </si>
  <si>
    <t>105115</t>
  </si>
  <si>
    <t>105213</t>
  </si>
  <si>
    <t>104292</t>
  </si>
  <si>
    <t>104674</t>
  </si>
  <si>
    <t>104615</t>
  </si>
  <si>
    <t>104286</t>
  </si>
  <si>
    <t>104699</t>
  </si>
  <si>
    <t>105124</t>
  </si>
  <si>
    <t>105314</t>
  </si>
  <si>
    <t>105547</t>
  </si>
  <si>
    <t>106001</t>
  </si>
  <si>
    <t>106190</t>
  </si>
  <si>
    <t>106950</t>
  </si>
  <si>
    <t>106945</t>
  </si>
  <si>
    <t>107425</t>
  </si>
  <si>
    <t>107692</t>
  </si>
  <si>
    <t>108067</t>
  </si>
  <si>
    <t>108286</t>
  </si>
  <si>
    <t>108404</t>
  </si>
  <si>
    <t>108984</t>
  </si>
  <si>
    <t>109102</t>
  </si>
  <si>
    <t>109576</t>
  </si>
  <si>
    <t>110008</t>
  </si>
  <si>
    <t>110702</t>
  </si>
  <si>
    <t>111140</t>
  </si>
  <si>
    <t>110835</t>
  </si>
  <si>
    <t>110327</t>
  </si>
  <si>
    <t>110781</t>
  </si>
  <si>
    <t>110905</t>
  </si>
  <si>
    <t>111317</t>
  </si>
  <si>
    <t>112050</t>
  </si>
  <si>
    <t>111946</t>
  </si>
  <si>
    <t>112388</t>
  </si>
  <si>
    <t>112979</t>
  </si>
  <si>
    <t>113050</t>
  </si>
  <si>
    <t>113429</t>
  </si>
  <si>
    <t>112995</t>
  </si>
  <si>
    <t>113430</t>
  </si>
  <si>
    <t>113220</t>
  </si>
  <si>
    <t>113170</t>
  </si>
  <si>
    <t>Momentum</t>
    <phoneticPr fontId="3" type="noConversion"/>
  </si>
  <si>
    <t>Return</t>
    <phoneticPr fontId="3" type="noConversion"/>
  </si>
  <si>
    <t>Weight</t>
    <phoneticPr fontId="3" type="noConversion"/>
  </si>
  <si>
    <t>tiger200</t>
    <phoneticPr fontId="3" type="noConversion"/>
  </si>
  <si>
    <t>treasury10</t>
    <phoneticPr fontId="3" type="noConversion"/>
  </si>
  <si>
    <t>treasury3</t>
    <phoneticPr fontId="3" type="noConversion"/>
  </si>
  <si>
    <t>COUNT</t>
    <phoneticPr fontId="3" type="noConversion"/>
  </si>
  <si>
    <t>LAST</t>
    <phoneticPr fontId="3" type="noConversion"/>
  </si>
  <si>
    <t>CAGR</t>
    <phoneticPr fontId="3" type="noConversion"/>
  </si>
  <si>
    <t>INDEX</t>
    <phoneticPr fontId="3" type="noConversion"/>
  </si>
  <si>
    <t>MDD</t>
    <phoneticPr fontId="3" type="noConversion"/>
  </si>
  <si>
    <t>MDD</t>
    <phoneticPr fontId="3" type="noConversion"/>
  </si>
  <si>
    <t>RETURN</t>
    <phoneticPr fontId="3" type="noConversion"/>
  </si>
  <si>
    <t>SUM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</si>
</sst>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\-mm\-dd\ hh:mm:ss"/>
    <numFmt numFmtId="177" formatCode="0_);[Red]\(0\)"/>
    <numFmt numFmtId="178" formatCode="0.0_);[Red]\(0.0\)"/>
  </numFmts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9" fontId="0" fillId="0" borderId="0" xfId="1" applyFont="1" applyAlignment="1"/>
    <xf numFmtId="10" fontId="0" fillId="0" borderId="0" xfId="1" applyNumberFormat="1" applyFont="1" applyAlignment="1"/>
    <xf numFmtId="0" fontId="0" fillId="0" borderId="0" xfId="0" applyAlignment="1">
      <alignment horizontal="center"/>
    </xf>
    <xf numFmtId="177" fontId="0" fillId="0" borderId="0" xfId="1" applyNumberFormat="1" applyFont="1" applyAlignment="1"/>
    <xf numFmtId="178" fontId="0" fillId="0" borderId="0" xfId="1" applyNumberFormat="1" applyFont="1" applyAlignmen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3"/>
  <sheetViews>
    <sheetView tabSelected="1" workbookViewId="0">
      <selection activeCell="U21" sqref="U21"/>
    </sheetView>
  </sheetViews>
  <sheetFormatPr defaultRowHeight="16.5" x14ac:dyDescent="0.3"/>
  <cols>
    <col min="1" max="1" width="21.75" bestFit="1" customWidth="1"/>
  </cols>
  <sheetData>
    <row r="1" spans="1:4" x14ac:dyDescent="0.3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39568</v>
      </c>
      <c r="B2" t="s">
        <v>4</v>
      </c>
    </row>
    <row r="3" spans="1:4" x14ac:dyDescent="0.3">
      <c r="A3" s="2">
        <v>39598</v>
      </c>
      <c r="B3" t="s">
        <v>5</v>
      </c>
    </row>
    <row r="4" spans="1:4" x14ac:dyDescent="0.3">
      <c r="A4" s="2">
        <v>39629</v>
      </c>
      <c r="B4" t="s">
        <v>6</v>
      </c>
    </row>
    <row r="5" spans="1:4" x14ac:dyDescent="0.3">
      <c r="A5" s="2">
        <v>39660</v>
      </c>
      <c r="B5" t="s">
        <v>7</v>
      </c>
    </row>
    <row r="6" spans="1:4" x14ac:dyDescent="0.3">
      <c r="A6" s="2">
        <v>39689</v>
      </c>
      <c r="B6" t="s">
        <v>8</v>
      </c>
    </row>
    <row r="7" spans="1:4" x14ac:dyDescent="0.3">
      <c r="A7" s="2">
        <v>39721</v>
      </c>
      <c r="B7" t="s">
        <v>9</v>
      </c>
    </row>
    <row r="8" spans="1:4" x14ac:dyDescent="0.3">
      <c r="A8" s="2">
        <v>39752</v>
      </c>
      <c r="B8" t="s">
        <v>10</v>
      </c>
    </row>
    <row r="9" spans="1:4" x14ac:dyDescent="0.3">
      <c r="A9" s="2">
        <v>39780</v>
      </c>
      <c r="B9" t="s">
        <v>11</v>
      </c>
    </row>
    <row r="10" spans="1:4" x14ac:dyDescent="0.3">
      <c r="A10" s="2">
        <v>39812</v>
      </c>
      <c r="B10" t="s">
        <v>12</v>
      </c>
    </row>
    <row r="11" spans="1:4" x14ac:dyDescent="0.3">
      <c r="A11" s="2">
        <v>39843</v>
      </c>
      <c r="B11" t="s">
        <v>13</v>
      </c>
    </row>
    <row r="12" spans="1:4" x14ac:dyDescent="0.3">
      <c r="A12" s="2">
        <v>39871</v>
      </c>
      <c r="B12" t="s">
        <v>14</v>
      </c>
    </row>
    <row r="13" spans="1:4" x14ac:dyDescent="0.3">
      <c r="A13" s="2">
        <v>39903</v>
      </c>
      <c r="B13" t="s">
        <v>15</v>
      </c>
    </row>
    <row r="14" spans="1:4" x14ac:dyDescent="0.3">
      <c r="A14" s="2">
        <v>39933</v>
      </c>
      <c r="B14" t="s">
        <v>16</v>
      </c>
    </row>
    <row r="15" spans="1:4" x14ac:dyDescent="0.3">
      <c r="A15" s="2">
        <v>39962</v>
      </c>
      <c r="B15" t="s">
        <v>17</v>
      </c>
    </row>
    <row r="16" spans="1:4" x14ac:dyDescent="0.3">
      <c r="A16" s="2">
        <v>39994</v>
      </c>
      <c r="B16" t="s">
        <v>18</v>
      </c>
    </row>
    <row r="17" spans="1:4" x14ac:dyDescent="0.3">
      <c r="A17" s="2">
        <v>40025</v>
      </c>
      <c r="B17" t="s">
        <v>19</v>
      </c>
      <c r="D17" t="s">
        <v>265</v>
      </c>
    </row>
    <row r="18" spans="1:4" x14ac:dyDescent="0.3">
      <c r="A18" s="2">
        <v>40056</v>
      </c>
      <c r="B18" t="s">
        <v>20</v>
      </c>
      <c r="D18" t="s">
        <v>266</v>
      </c>
    </row>
    <row r="19" spans="1:4" x14ac:dyDescent="0.3">
      <c r="A19" s="2">
        <v>40086</v>
      </c>
      <c r="B19" t="s">
        <v>21</v>
      </c>
      <c r="D19" t="s">
        <v>267</v>
      </c>
    </row>
    <row r="20" spans="1:4" x14ac:dyDescent="0.3">
      <c r="A20" s="2">
        <v>40116</v>
      </c>
      <c r="B20" t="s">
        <v>22</v>
      </c>
      <c r="D20" t="s">
        <v>268</v>
      </c>
    </row>
    <row r="21" spans="1:4" x14ac:dyDescent="0.3">
      <c r="A21" s="2">
        <v>40147</v>
      </c>
      <c r="B21" t="s">
        <v>23</v>
      </c>
      <c r="D21" t="s">
        <v>269</v>
      </c>
    </row>
    <row r="22" spans="1:4" x14ac:dyDescent="0.3">
      <c r="A22" s="2">
        <v>40177</v>
      </c>
      <c r="B22" t="s">
        <v>24</v>
      </c>
      <c r="D22" t="s">
        <v>270</v>
      </c>
    </row>
    <row r="23" spans="1:4" x14ac:dyDescent="0.3">
      <c r="A23" s="2">
        <v>40207</v>
      </c>
      <c r="B23" t="s">
        <v>25</v>
      </c>
      <c r="D23" t="s">
        <v>271</v>
      </c>
    </row>
    <row r="24" spans="1:4" x14ac:dyDescent="0.3">
      <c r="A24" s="2">
        <v>40235</v>
      </c>
      <c r="B24" t="s">
        <v>26</v>
      </c>
      <c r="D24" t="s">
        <v>272</v>
      </c>
    </row>
    <row r="25" spans="1:4" x14ac:dyDescent="0.3">
      <c r="A25" s="2">
        <v>40268</v>
      </c>
      <c r="B25" t="s">
        <v>27</v>
      </c>
      <c r="D25" t="s">
        <v>273</v>
      </c>
    </row>
    <row r="26" spans="1:4" x14ac:dyDescent="0.3">
      <c r="A26" s="2">
        <v>40298</v>
      </c>
      <c r="B26" t="s">
        <v>28</v>
      </c>
      <c r="D26" t="s">
        <v>274</v>
      </c>
    </row>
    <row r="27" spans="1:4" x14ac:dyDescent="0.3">
      <c r="A27" s="2">
        <v>40329</v>
      </c>
      <c r="B27" t="s">
        <v>29</v>
      </c>
      <c r="D27" t="s">
        <v>275</v>
      </c>
    </row>
    <row r="28" spans="1:4" x14ac:dyDescent="0.3">
      <c r="A28" s="2">
        <v>40359</v>
      </c>
      <c r="B28" t="s">
        <v>30</v>
      </c>
      <c r="D28" t="s">
        <v>276</v>
      </c>
    </row>
    <row r="29" spans="1:4" x14ac:dyDescent="0.3">
      <c r="A29" s="2">
        <v>40389</v>
      </c>
      <c r="B29" t="s">
        <v>31</v>
      </c>
      <c r="D29" t="s">
        <v>277</v>
      </c>
    </row>
    <row r="30" spans="1:4" x14ac:dyDescent="0.3">
      <c r="A30" s="2">
        <v>40421</v>
      </c>
      <c r="B30" t="s">
        <v>32</v>
      </c>
      <c r="D30" t="s">
        <v>278</v>
      </c>
    </row>
    <row r="31" spans="1:4" x14ac:dyDescent="0.3">
      <c r="A31" s="2">
        <v>40451</v>
      </c>
      <c r="B31" t="s">
        <v>33</v>
      </c>
      <c r="D31" t="s">
        <v>279</v>
      </c>
    </row>
    <row r="32" spans="1:4" x14ac:dyDescent="0.3">
      <c r="A32" s="2">
        <v>40480</v>
      </c>
      <c r="B32" t="s">
        <v>34</v>
      </c>
      <c r="D32" t="s">
        <v>280</v>
      </c>
    </row>
    <row r="33" spans="1:4" x14ac:dyDescent="0.3">
      <c r="A33" s="2">
        <v>40512</v>
      </c>
      <c r="B33" t="s">
        <v>35</v>
      </c>
      <c r="D33" t="s">
        <v>281</v>
      </c>
    </row>
    <row r="34" spans="1:4" x14ac:dyDescent="0.3">
      <c r="A34" s="2">
        <v>40542</v>
      </c>
      <c r="B34" t="s">
        <v>36</v>
      </c>
      <c r="D34" t="s">
        <v>282</v>
      </c>
    </row>
    <row r="35" spans="1:4" x14ac:dyDescent="0.3">
      <c r="A35" s="2">
        <v>40574</v>
      </c>
      <c r="B35" t="s">
        <v>37</v>
      </c>
      <c r="D35" t="s">
        <v>283</v>
      </c>
    </row>
    <row r="36" spans="1:4" x14ac:dyDescent="0.3">
      <c r="A36" s="2">
        <v>40602</v>
      </c>
      <c r="B36" t="s">
        <v>38</v>
      </c>
      <c r="D36" t="s">
        <v>284</v>
      </c>
    </row>
    <row r="37" spans="1:4" x14ac:dyDescent="0.3">
      <c r="A37" s="2">
        <v>40633</v>
      </c>
      <c r="B37" t="s">
        <v>39</v>
      </c>
      <c r="D37" t="s">
        <v>285</v>
      </c>
    </row>
    <row r="38" spans="1:4" x14ac:dyDescent="0.3">
      <c r="A38" s="2">
        <v>40662</v>
      </c>
      <c r="B38" t="s">
        <v>40</v>
      </c>
      <c r="D38" t="s">
        <v>286</v>
      </c>
    </row>
    <row r="39" spans="1:4" x14ac:dyDescent="0.3">
      <c r="A39" s="2">
        <v>40694</v>
      </c>
      <c r="B39" t="s">
        <v>41</v>
      </c>
      <c r="D39" t="s">
        <v>287</v>
      </c>
    </row>
    <row r="40" spans="1:4" x14ac:dyDescent="0.3">
      <c r="A40" s="2">
        <v>40724</v>
      </c>
      <c r="B40" t="s">
        <v>42</v>
      </c>
      <c r="D40" t="s">
        <v>288</v>
      </c>
    </row>
    <row r="41" spans="1:4" x14ac:dyDescent="0.3">
      <c r="A41" s="2">
        <v>40753</v>
      </c>
      <c r="B41" t="s">
        <v>43</v>
      </c>
      <c r="D41" t="s">
        <v>289</v>
      </c>
    </row>
    <row r="42" spans="1:4" x14ac:dyDescent="0.3">
      <c r="A42" s="2">
        <v>40786</v>
      </c>
      <c r="B42" t="s">
        <v>44</v>
      </c>
      <c r="D42" t="s">
        <v>290</v>
      </c>
    </row>
    <row r="43" spans="1:4" x14ac:dyDescent="0.3">
      <c r="A43" s="2">
        <v>40816</v>
      </c>
      <c r="B43" t="s">
        <v>45</v>
      </c>
      <c r="D43" t="s">
        <v>291</v>
      </c>
    </row>
    <row r="44" spans="1:4" x14ac:dyDescent="0.3">
      <c r="A44" s="2">
        <v>40847</v>
      </c>
      <c r="B44" t="s">
        <v>46</v>
      </c>
      <c r="C44" t="s">
        <v>155</v>
      </c>
      <c r="D44" t="s">
        <v>292</v>
      </c>
    </row>
    <row r="45" spans="1:4" x14ac:dyDescent="0.3">
      <c r="A45" s="2">
        <v>40877</v>
      </c>
      <c r="B45" t="s">
        <v>47</v>
      </c>
      <c r="C45" t="s">
        <v>156</v>
      </c>
      <c r="D45" t="s">
        <v>293</v>
      </c>
    </row>
    <row r="46" spans="1:4" x14ac:dyDescent="0.3">
      <c r="A46" s="2">
        <v>40906</v>
      </c>
      <c r="B46" t="s">
        <v>48</v>
      </c>
      <c r="C46" t="s">
        <v>157</v>
      </c>
      <c r="D46" t="s">
        <v>294</v>
      </c>
    </row>
    <row r="47" spans="1:4" x14ac:dyDescent="0.3">
      <c r="A47" s="2">
        <v>40939</v>
      </c>
      <c r="B47" t="s">
        <v>49</v>
      </c>
      <c r="C47" t="s">
        <v>158</v>
      </c>
      <c r="D47" t="s">
        <v>295</v>
      </c>
    </row>
    <row r="48" spans="1:4" x14ac:dyDescent="0.3">
      <c r="A48" s="2">
        <v>40968</v>
      </c>
      <c r="B48" t="s">
        <v>50</v>
      </c>
      <c r="C48" t="s">
        <v>159</v>
      </c>
      <c r="D48" t="s">
        <v>296</v>
      </c>
    </row>
    <row r="49" spans="1:4" x14ac:dyDescent="0.3">
      <c r="A49" s="2">
        <v>40998</v>
      </c>
      <c r="B49" t="s">
        <v>51</v>
      </c>
      <c r="C49" t="s">
        <v>160</v>
      </c>
      <c r="D49" t="s">
        <v>297</v>
      </c>
    </row>
    <row r="50" spans="1:4" x14ac:dyDescent="0.3">
      <c r="A50" s="2">
        <v>41029</v>
      </c>
      <c r="B50" t="s">
        <v>52</v>
      </c>
      <c r="C50" t="s">
        <v>161</v>
      </c>
      <c r="D50" t="s">
        <v>298</v>
      </c>
    </row>
    <row r="51" spans="1:4" x14ac:dyDescent="0.3">
      <c r="A51" s="2">
        <v>41060</v>
      </c>
      <c r="B51" t="s">
        <v>53</v>
      </c>
      <c r="C51" t="s">
        <v>162</v>
      </c>
      <c r="D51" t="s">
        <v>299</v>
      </c>
    </row>
    <row r="52" spans="1:4" x14ac:dyDescent="0.3">
      <c r="A52" s="2">
        <v>41089</v>
      </c>
      <c r="B52" t="s">
        <v>54</v>
      </c>
      <c r="C52" t="s">
        <v>163</v>
      </c>
      <c r="D52" t="s">
        <v>300</v>
      </c>
    </row>
    <row r="53" spans="1:4" x14ac:dyDescent="0.3">
      <c r="A53" s="2">
        <v>41121</v>
      </c>
      <c r="B53" t="s">
        <v>55</v>
      </c>
      <c r="C53" t="s">
        <v>164</v>
      </c>
      <c r="D53" t="s">
        <v>301</v>
      </c>
    </row>
    <row r="54" spans="1:4" x14ac:dyDescent="0.3">
      <c r="A54" s="2">
        <v>41152</v>
      </c>
      <c r="B54" t="s">
        <v>56</v>
      </c>
      <c r="C54" t="s">
        <v>165</v>
      </c>
      <c r="D54" t="s">
        <v>302</v>
      </c>
    </row>
    <row r="55" spans="1:4" x14ac:dyDescent="0.3">
      <c r="A55" s="2">
        <v>41180</v>
      </c>
      <c r="B55" t="s">
        <v>57</v>
      </c>
      <c r="C55" t="s">
        <v>166</v>
      </c>
      <c r="D55" t="s">
        <v>303</v>
      </c>
    </row>
    <row r="56" spans="1:4" x14ac:dyDescent="0.3">
      <c r="A56" s="2">
        <v>41213</v>
      </c>
      <c r="B56" t="s">
        <v>58</v>
      </c>
      <c r="C56" t="s">
        <v>167</v>
      </c>
      <c r="D56" t="s">
        <v>304</v>
      </c>
    </row>
    <row r="57" spans="1:4" x14ac:dyDescent="0.3">
      <c r="A57" s="2">
        <v>41243</v>
      </c>
      <c r="B57" t="s">
        <v>59</v>
      </c>
      <c r="C57" t="s">
        <v>168</v>
      </c>
      <c r="D57" t="s">
        <v>305</v>
      </c>
    </row>
    <row r="58" spans="1:4" x14ac:dyDescent="0.3">
      <c r="A58" s="2">
        <v>41271</v>
      </c>
      <c r="B58" t="s">
        <v>60</v>
      </c>
      <c r="C58" t="s">
        <v>169</v>
      </c>
      <c r="D58" t="s">
        <v>306</v>
      </c>
    </row>
    <row r="59" spans="1:4" x14ac:dyDescent="0.3">
      <c r="A59" s="2">
        <v>41305</v>
      </c>
      <c r="B59" t="s">
        <v>61</v>
      </c>
      <c r="C59" t="s">
        <v>170</v>
      </c>
      <c r="D59" t="s">
        <v>307</v>
      </c>
    </row>
    <row r="60" spans="1:4" x14ac:dyDescent="0.3">
      <c r="A60" s="2">
        <v>41333</v>
      </c>
      <c r="B60" t="s">
        <v>62</v>
      </c>
      <c r="C60" t="s">
        <v>171</v>
      </c>
      <c r="D60" t="s">
        <v>308</v>
      </c>
    </row>
    <row r="61" spans="1:4" x14ac:dyDescent="0.3">
      <c r="A61" s="2">
        <v>41362</v>
      </c>
      <c r="B61" t="s">
        <v>63</v>
      </c>
      <c r="C61" t="s">
        <v>172</v>
      </c>
      <c r="D61" t="s">
        <v>309</v>
      </c>
    </row>
    <row r="62" spans="1:4" x14ac:dyDescent="0.3">
      <c r="A62" s="2">
        <v>41394</v>
      </c>
      <c r="B62" t="s">
        <v>64</v>
      </c>
      <c r="C62" t="s">
        <v>173</v>
      </c>
      <c r="D62" t="s">
        <v>310</v>
      </c>
    </row>
    <row r="63" spans="1:4" x14ac:dyDescent="0.3">
      <c r="A63" s="2">
        <v>41425</v>
      </c>
      <c r="B63" t="s">
        <v>65</v>
      </c>
      <c r="C63" t="s">
        <v>174</v>
      </c>
      <c r="D63" t="s">
        <v>311</v>
      </c>
    </row>
    <row r="64" spans="1:4" x14ac:dyDescent="0.3">
      <c r="A64" s="2">
        <v>41453</v>
      </c>
      <c r="B64" t="s">
        <v>66</v>
      </c>
      <c r="C64" t="s">
        <v>175</v>
      </c>
      <c r="D64" t="s">
        <v>312</v>
      </c>
    </row>
    <row r="65" spans="1:4" x14ac:dyDescent="0.3">
      <c r="A65" s="2">
        <v>41486</v>
      </c>
      <c r="B65" t="s">
        <v>67</v>
      </c>
      <c r="C65" t="s">
        <v>176</v>
      </c>
      <c r="D65" t="s">
        <v>313</v>
      </c>
    </row>
    <row r="66" spans="1:4" x14ac:dyDescent="0.3">
      <c r="A66" s="2">
        <v>41516</v>
      </c>
      <c r="B66" t="s">
        <v>68</v>
      </c>
      <c r="C66" t="s">
        <v>177</v>
      </c>
      <c r="D66" t="s">
        <v>314</v>
      </c>
    </row>
    <row r="67" spans="1:4" x14ac:dyDescent="0.3">
      <c r="A67" s="2">
        <v>41547</v>
      </c>
      <c r="B67" t="s">
        <v>69</v>
      </c>
      <c r="C67" t="s">
        <v>178</v>
      </c>
      <c r="D67" t="s">
        <v>315</v>
      </c>
    </row>
    <row r="68" spans="1:4" x14ac:dyDescent="0.3">
      <c r="A68" s="2">
        <v>41578</v>
      </c>
      <c r="B68" t="s">
        <v>70</v>
      </c>
      <c r="C68" t="s">
        <v>179</v>
      </c>
      <c r="D68" t="s">
        <v>316</v>
      </c>
    </row>
    <row r="69" spans="1:4" x14ac:dyDescent="0.3">
      <c r="A69" s="2">
        <v>41607</v>
      </c>
      <c r="B69" t="s">
        <v>71</v>
      </c>
      <c r="C69" t="s">
        <v>180</v>
      </c>
      <c r="D69" t="s">
        <v>317</v>
      </c>
    </row>
    <row r="70" spans="1:4" x14ac:dyDescent="0.3">
      <c r="A70" s="2">
        <v>41638</v>
      </c>
      <c r="B70" t="s">
        <v>72</v>
      </c>
      <c r="C70" t="s">
        <v>181</v>
      </c>
      <c r="D70" t="s">
        <v>318</v>
      </c>
    </row>
    <row r="71" spans="1:4" x14ac:dyDescent="0.3">
      <c r="A71" s="2">
        <v>41668</v>
      </c>
      <c r="B71" t="s">
        <v>73</v>
      </c>
      <c r="C71" t="s">
        <v>182</v>
      </c>
      <c r="D71" t="s">
        <v>319</v>
      </c>
    </row>
    <row r="72" spans="1:4" x14ac:dyDescent="0.3">
      <c r="A72" s="2">
        <v>41698</v>
      </c>
      <c r="B72" t="s">
        <v>74</v>
      </c>
      <c r="C72" t="s">
        <v>183</v>
      </c>
      <c r="D72" t="s">
        <v>320</v>
      </c>
    </row>
    <row r="73" spans="1:4" x14ac:dyDescent="0.3">
      <c r="A73" s="2">
        <v>41729</v>
      </c>
      <c r="B73" t="s">
        <v>75</v>
      </c>
      <c r="C73" t="s">
        <v>184</v>
      </c>
      <c r="D73" t="s">
        <v>321</v>
      </c>
    </row>
    <row r="74" spans="1:4" x14ac:dyDescent="0.3">
      <c r="A74" s="2">
        <v>41759</v>
      </c>
      <c r="B74" t="s">
        <v>76</v>
      </c>
      <c r="C74" t="s">
        <v>185</v>
      </c>
      <c r="D74" t="s">
        <v>172</v>
      </c>
    </row>
    <row r="75" spans="1:4" x14ac:dyDescent="0.3">
      <c r="A75" s="2">
        <v>41789</v>
      </c>
      <c r="B75" t="s">
        <v>77</v>
      </c>
      <c r="C75" t="s">
        <v>186</v>
      </c>
      <c r="D75" t="s">
        <v>322</v>
      </c>
    </row>
    <row r="76" spans="1:4" x14ac:dyDescent="0.3">
      <c r="A76" s="2">
        <v>41820</v>
      </c>
      <c r="B76" t="s">
        <v>78</v>
      </c>
      <c r="C76" t="s">
        <v>187</v>
      </c>
      <c r="D76" t="s">
        <v>323</v>
      </c>
    </row>
    <row r="77" spans="1:4" x14ac:dyDescent="0.3">
      <c r="A77" s="2">
        <v>41851</v>
      </c>
      <c r="B77" t="s">
        <v>79</v>
      </c>
      <c r="C77" t="s">
        <v>188</v>
      </c>
      <c r="D77" t="s">
        <v>324</v>
      </c>
    </row>
    <row r="78" spans="1:4" x14ac:dyDescent="0.3">
      <c r="A78" s="2">
        <v>41880</v>
      </c>
      <c r="B78" t="s">
        <v>80</v>
      </c>
      <c r="C78" t="s">
        <v>189</v>
      </c>
      <c r="D78" t="s">
        <v>325</v>
      </c>
    </row>
    <row r="79" spans="1:4" x14ac:dyDescent="0.3">
      <c r="A79" s="2">
        <v>41912</v>
      </c>
      <c r="B79" t="s">
        <v>81</v>
      </c>
      <c r="C79" t="s">
        <v>190</v>
      </c>
      <c r="D79" t="s">
        <v>326</v>
      </c>
    </row>
    <row r="80" spans="1:4" x14ac:dyDescent="0.3">
      <c r="A80" s="2">
        <v>41943</v>
      </c>
      <c r="B80" t="s">
        <v>82</v>
      </c>
      <c r="C80" t="s">
        <v>191</v>
      </c>
      <c r="D80" t="s">
        <v>327</v>
      </c>
    </row>
    <row r="81" spans="1:4" x14ac:dyDescent="0.3">
      <c r="A81" s="2">
        <v>41971</v>
      </c>
      <c r="B81" t="s">
        <v>83</v>
      </c>
      <c r="C81" t="s">
        <v>192</v>
      </c>
      <c r="D81" t="s">
        <v>328</v>
      </c>
    </row>
    <row r="82" spans="1:4" x14ac:dyDescent="0.3">
      <c r="A82" s="2">
        <v>42003</v>
      </c>
      <c r="B82" t="s">
        <v>84</v>
      </c>
      <c r="C82" t="s">
        <v>193</v>
      </c>
      <c r="D82" t="s">
        <v>329</v>
      </c>
    </row>
    <row r="83" spans="1:4" x14ac:dyDescent="0.3">
      <c r="A83" s="2">
        <v>42034</v>
      </c>
      <c r="B83" t="s">
        <v>85</v>
      </c>
      <c r="C83" t="s">
        <v>194</v>
      </c>
      <c r="D83" t="s">
        <v>330</v>
      </c>
    </row>
    <row r="84" spans="1:4" x14ac:dyDescent="0.3">
      <c r="A84" s="2">
        <v>42062</v>
      </c>
      <c r="B84" t="s">
        <v>86</v>
      </c>
      <c r="C84" t="s">
        <v>195</v>
      </c>
      <c r="D84" t="s">
        <v>331</v>
      </c>
    </row>
    <row r="85" spans="1:4" x14ac:dyDescent="0.3">
      <c r="A85" s="2">
        <v>42094</v>
      </c>
      <c r="B85" t="s">
        <v>87</v>
      </c>
      <c r="C85" t="s">
        <v>196</v>
      </c>
      <c r="D85" t="s">
        <v>332</v>
      </c>
    </row>
    <row r="86" spans="1:4" x14ac:dyDescent="0.3">
      <c r="A86" s="2">
        <v>42124</v>
      </c>
      <c r="B86" t="s">
        <v>88</v>
      </c>
      <c r="C86" t="s">
        <v>197</v>
      </c>
      <c r="D86" t="s">
        <v>333</v>
      </c>
    </row>
    <row r="87" spans="1:4" x14ac:dyDescent="0.3">
      <c r="A87" s="2">
        <v>42153</v>
      </c>
      <c r="B87" t="s">
        <v>89</v>
      </c>
      <c r="C87" t="s">
        <v>198</v>
      </c>
      <c r="D87" t="s">
        <v>334</v>
      </c>
    </row>
    <row r="88" spans="1:4" x14ac:dyDescent="0.3">
      <c r="A88" s="2">
        <v>42185</v>
      </c>
      <c r="B88" t="s">
        <v>90</v>
      </c>
      <c r="C88" t="s">
        <v>199</v>
      </c>
      <c r="D88" t="s">
        <v>335</v>
      </c>
    </row>
    <row r="89" spans="1:4" x14ac:dyDescent="0.3">
      <c r="A89" s="2">
        <v>42216</v>
      </c>
      <c r="B89" t="s">
        <v>91</v>
      </c>
      <c r="C89" t="s">
        <v>200</v>
      </c>
      <c r="D89" t="s">
        <v>336</v>
      </c>
    </row>
    <row r="90" spans="1:4" x14ac:dyDescent="0.3">
      <c r="A90" s="2">
        <v>42247</v>
      </c>
      <c r="B90" t="s">
        <v>92</v>
      </c>
      <c r="C90" t="s">
        <v>201</v>
      </c>
      <c r="D90" t="s">
        <v>337</v>
      </c>
    </row>
    <row r="91" spans="1:4" x14ac:dyDescent="0.3">
      <c r="A91" s="2">
        <v>42277</v>
      </c>
      <c r="B91" t="s">
        <v>93</v>
      </c>
      <c r="C91" t="s">
        <v>202</v>
      </c>
      <c r="D91" t="s">
        <v>338</v>
      </c>
    </row>
    <row r="92" spans="1:4" x14ac:dyDescent="0.3">
      <c r="A92" s="2">
        <v>42307</v>
      </c>
      <c r="B92" t="s">
        <v>94</v>
      </c>
      <c r="C92" t="s">
        <v>203</v>
      </c>
      <c r="D92" t="s">
        <v>339</v>
      </c>
    </row>
    <row r="93" spans="1:4" x14ac:dyDescent="0.3">
      <c r="A93" s="2">
        <v>42338</v>
      </c>
      <c r="B93" t="s">
        <v>95</v>
      </c>
      <c r="C93" t="s">
        <v>204</v>
      </c>
      <c r="D93" t="s">
        <v>340</v>
      </c>
    </row>
    <row r="94" spans="1:4" x14ac:dyDescent="0.3">
      <c r="A94" s="2">
        <v>42368</v>
      </c>
      <c r="B94" t="s">
        <v>96</v>
      </c>
      <c r="C94" t="s">
        <v>205</v>
      </c>
      <c r="D94" t="s">
        <v>341</v>
      </c>
    </row>
    <row r="95" spans="1:4" x14ac:dyDescent="0.3">
      <c r="A95" s="2">
        <v>42398</v>
      </c>
      <c r="B95" t="s">
        <v>97</v>
      </c>
      <c r="C95" t="s">
        <v>206</v>
      </c>
      <c r="D95" t="s">
        <v>342</v>
      </c>
    </row>
    <row r="96" spans="1:4" x14ac:dyDescent="0.3">
      <c r="A96" s="2">
        <v>42429</v>
      </c>
      <c r="B96" t="s">
        <v>98</v>
      </c>
      <c r="C96" t="s">
        <v>207</v>
      </c>
      <c r="D96" t="s">
        <v>343</v>
      </c>
    </row>
    <row r="97" spans="1:4" x14ac:dyDescent="0.3">
      <c r="A97" s="2">
        <v>42460</v>
      </c>
      <c r="B97" t="s">
        <v>99</v>
      </c>
      <c r="C97" t="s">
        <v>208</v>
      </c>
      <c r="D97" t="s">
        <v>344</v>
      </c>
    </row>
    <row r="98" spans="1:4" x14ac:dyDescent="0.3">
      <c r="A98" s="2">
        <v>42489</v>
      </c>
      <c r="B98" t="s">
        <v>100</v>
      </c>
      <c r="C98" t="s">
        <v>209</v>
      </c>
      <c r="D98" t="s">
        <v>345</v>
      </c>
    </row>
    <row r="99" spans="1:4" x14ac:dyDescent="0.3">
      <c r="A99" s="2">
        <v>42521</v>
      </c>
      <c r="B99" t="s">
        <v>101</v>
      </c>
      <c r="C99" t="s">
        <v>210</v>
      </c>
      <c r="D99" t="s">
        <v>345</v>
      </c>
    </row>
    <row r="100" spans="1:4" x14ac:dyDescent="0.3">
      <c r="A100" s="2">
        <v>42551</v>
      </c>
      <c r="B100" t="s">
        <v>102</v>
      </c>
      <c r="C100" t="s">
        <v>211</v>
      </c>
      <c r="D100" t="s">
        <v>346</v>
      </c>
    </row>
    <row r="101" spans="1:4" x14ac:dyDescent="0.3">
      <c r="A101" s="2">
        <v>42580</v>
      </c>
      <c r="B101" t="s">
        <v>103</v>
      </c>
      <c r="C101" t="s">
        <v>212</v>
      </c>
      <c r="D101" t="s">
        <v>347</v>
      </c>
    </row>
    <row r="102" spans="1:4" x14ac:dyDescent="0.3">
      <c r="A102" s="2">
        <v>42613</v>
      </c>
      <c r="B102" t="s">
        <v>104</v>
      </c>
      <c r="C102" t="s">
        <v>213</v>
      </c>
      <c r="D102" t="s">
        <v>348</v>
      </c>
    </row>
    <row r="103" spans="1:4" x14ac:dyDescent="0.3">
      <c r="A103" s="2">
        <v>42643</v>
      </c>
      <c r="B103" t="s">
        <v>105</v>
      </c>
      <c r="C103" t="s">
        <v>214</v>
      </c>
      <c r="D103" t="s">
        <v>349</v>
      </c>
    </row>
    <row r="104" spans="1:4" x14ac:dyDescent="0.3">
      <c r="A104" s="2">
        <v>42674</v>
      </c>
      <c r="B104" t="s">
        <v>106</v>
      </c>
      <c r="C104" t="s">
        <v>215</v>
      </c>
      <c r="D104" t="s">
        <v>350</v>
      </c>
    </row>
    <row r="105" spans="1:4" x14ac:dyDescent="0.3">
      <c r="A105" s="2">
        <v>42704</v>
      </c>
      <c r="B105" t="s">
        <v>107</v>
      </c>
      <c r="C105" t="s">
        <v>216</v>
      </c>
      <c r="D105" t="s">
        <v>351</v>
      </c>
    </row>
    <row r="106" spans="1:4" x14ac:dyDescent="0.3">
      <c r="A106" s="2">
        <v>42733</v>
      </c>
      <c r="B106" t="s">
        <v>108</v>
      </c>
      <c r="C106" t="s">
        <v>217</v>
      </c>
      <c r="D106" t="s">
        <v>352</v>
      </c>
    </row>
    <row r="107" spans="1:4" x14ac:dyDescent="0.3">
      <c r="A107" s="2">
        <v>42766</v>
      </c>
      <c r="B107" t="s">
        <v>109</v>
      </c>
      <c r="C107" t="s">
        <v>218</v>
      </c>
      <c r="D107" t="s">
        <v>353</v>
      </c>
    </row>
    <row r="108" spans="1:4" x14ac:dyDescent="0.3">
      <c r="A108" s="2">
        <v>42794</v>
      </c>
      <c r="B108" t="s">
        <v>110</v>
      </c>
      <c r="C108" t="s">
        <v>219</v>
      </c>
      <c r="D108" t="s">
        <v>354</v>
      </c>
    </row>
    <row r="109" spans="1:4" x14ac:dyDescent="0.3">
      <c r="A109" s="2">
        <v>42825</v>
      </c>
      <c r="B109" t="s">
        <v>111</v>
      </c>
      <c r="C109" t="s">
        <v>220</v>
      </c>
      <c r="D109" t="s">
        <v>355</v>
      </c>
    </row>
    <row r="110" spans="1:4" x14ac:dyDescent="0.3">
      <c r="A110" s="2">
        <v>42853</v>
      </c>
      <c r="B110" t="s">
        <v>112</v>
      </c>
      <c r="C110" t="s">
        <v>221</v>
      </c>
      <c r="D110" t="s">
        <v>356</v>
      </c>
    </row>
    <row r="111" spans="1:4" x14ac:dyDescent="0.3">
      <c r="A111" s="2">
        <v>42886</v>
      </c>
      <c r="B111" t="s">
        <v>113</v>
      </c>
      <c r="C111" t="s">
        <v>222</v>
      </c>
      <c r="D111" t="s">
        <v>357</v>
      </c>
    </row>
    <row r="112" spans="1:4" x14ac:dyDescent="0.3">
      <c r="A112" s="2">
        <v>42916</v>
      </c>
      <c r="B112" t="s">
        <v>114</v>
      </c>
      <c r="C112" t="s">
        <v>223</v>
      </c>
      <c r="D112" t="s">
        <v>358</v>
      </c>
    </row>
    <row r="113" spans="1:4" x14ac:dyDescent="0.3">
      <c r="A113" s="2">
        <v>42947</v>
      </c>
      <c r="B113" t="s">
        <v>115</v>
      </c>
      <c r="C113" t="s">
        <v>224</v>
      </c>
      <c r="D113" t="s">
        <v>359</v>
      </c>
    </row>
    <row r="114" spans="1:4" x14ac:dyDescent="0.3">
      <c r="A114" s="2">
        <v>42978</v>
      </c>
      <c r="B114" t="s">
        <v>116</v>
      </c>
      <c r="C114" t="s">
        <v>225</v>
      </c>
      <c r="D114" t="s">
        <v>360</v>
      </c>
    </row>
    <row r="115" spans="1:4" x14ac:dyDescent="0.3">
      <c r="A115" s="2">
        <v>43007</v>
      </c>
      <c r="B115" t="s">
        <v>117</v>
      </c>
      <c r="C115" t="s">
        <v>226</v>
      </c>
      <c r="D115" t="s">
        <v>346</v>
      </c>
    </row>
    <row r="116" spans="1:4" x14ac:dyDescent="0.3">
      <c r="A116" s="2">
        <v>43039</v>
      </c>
      <c r="B116" t="s">
        <v>118</v>
      </c>
      <c r="C116" t="s">
        <v>227</v>
      </c>
      <c r="D116" t="s">
        <v>361</v>
      </c>
    </row>
    <row r="117" spans="1:4" x14ac:dyDescent="0.3">
      <c r="A117" s="2">
        <v>43069</v>
      </c>
      <c r="B117" t="s">
        <v>119</v>
      </c>
      <c r="C117" t="s">
        <v>228</v>
      </c>
      <c r="D117" t="s">
        <v>362</v>
      </c>
    </row>
    <row r="118" spans="1:4" x14ac:dyDescent="0.3">
      <c r="A118" s="2">
        <v>43097</v>
      </c>
      <c r="B118" t="s">
        <v>120</v>
      </c>
      <c r="C118" t="s">
        <v>229</v>
      </c>
      <c r="D118" t="s">
        <v>363</v>
      </c>
    </row>
    <row r="119" spans="1:4" x14ac:dyDescent="0.3">
      <c r="A119" s="2">
        <v>43131</v>
      </c>
      <c r="B119" t="s">
        <v>121</v>
      </c>
      <c r="C119" t="s">
        <v>230</v>
      </c>
      <c r="D119" t="s">
        <v>364</v>
      </c>
    </row>
    <row r="120" spans="1:4" x14ac:dyDescent="0.3">
      <c r="A120" s="2">
        <v>43159</v>
      </c>
      <c r="B120" t="s">
        <v>122</v>
      </c>
      <c r="C120" t="s">
        <v>231</v>
      </c>
      <c r="D120" t="s">
        <v>365</v>
      </c>
    </row>
    <row r="121" spans="1:4" x14ac:dyDescent="0.3">
      <c r="A121" s="2">
        <v>43189</v>
      </c>
      <c r="B121" t="s">
        <v>123</v>
      </c>
      <c r="C121" t="s">
        <v>232</v>
      </c>
      <c r="D121" t="s">
        <v>366</v>
      </c>
    </row>
    <row r="122" spans="1:4" x14ac:dyDescent="0.3">
      <c r="A122" s="2">
        <v>43220</v>
      </c>
      <c r="B122" t="s">
        <v>124</v>
      </c>
      <c r="C122" t="s">
        <v>233</v>
      </c>
      <c r="D122" t="s">
        <v>367</v>
      </c>
    </row>
    <row r="123" spans="1:4" x14ac:dyDescent="0.3">
      <c r="A123" s="2">
        <v>43251</v>
      </c>
      <c r="B123" t="s">
        <v>125</v>
      </c>
      <c r="C123" t="s">
        <v>234</v>
      </c>
      <c r="D123" t="s">
        <v>368</v>
      </c>
    </row>
    <row r="124" spans="1:4" x14ac:dyDescent="0.3">
      <c r="A124" s="2">
        <v>43280</v>
      </c>
      <c r="B124" t="s">
        <v>126</v>
      </c>
      <c r="C124" t="s">
        <v>235</v>
      </c>
      <c r="D124" t="s">
        <v>369</v>
      </c>
    </row>
    <row r="125" spans="1:4" x14ac:dyDescent="0.3">
      <c r="A125" s="2">
        <v>43312</v>
      </c>
      <c r="B125" t="s">
        <v>127</v>
      </c>
      <c r="C125" t="s">
        <v>236</v>
      </c>
      <c r="D125" t="s">
        <v>370</v>
      </c>
    </row>
    <row r="126" spans="1:4" x14ac:dyDescent="0.3">
      <c r="A126" s="2">
        <v>43343</v>
      </c>
      <c r="B126" t="s">
        <v>128</v>
      </c>
      <c r="C126" t="s">
        <v>237</v>
      </c>
      <c r="D126" t="s">
        <v>371</v>
      </c>
    </row>
    <row r="127" spans="1:4" x14ac:dyDescent="0.3">
      <c r="A127" s="2">
        <v>43371</v>
      </c>
      <c r="B127" t="s">
        <v>129</v>
      </c>
      <c r="C127" t="s">
        <v>238</v>
      </c>
      <c r="D127" t="s">
        <v>372</v>
      </c>
    </row>
    <row r="128" spans="1:4" x14ac:dyDescent="0.3">
      <c r="A128" s="2">
        <v>43404</v>
      </c>
      <c r="B128" t="s">
        <v>130</v>
      </c>
      <c r="C128" t="s">
        <v>239</v>
      </c>
      <c r="D128" t="s">
        <v>373</v>
      </c>
    </row>
    <row r="129" spans="1:4" x14ac:dyDescent="0.3">
      <c r="A129" s="2">
        <v>43434</v>
      </c>
      <c r="B129" t="s">
        <v>131</v>
      </c>
      <c r="C129" t="s">
        <v>240</v>
      </c>
      <c r="D129" t="s">
        <v>374</v>
      </c>
    </row>
    <row r="130" spans="1:4" x14ac:dyDescent="0.3">
      <c r="A130" s="2">
        <v>43462</v>
      </c>
      <c r="B130" t="s">
        <v>132</v>
      </c>
      <c r="C130" t="s">
        <v>241</v>
      </c>
      <c r="D130" t="s">
        <v>375</v>
      </c>
    </row>
    <row r="131" spans="1:4" x14ac:dyDescent="0.3">
      <c r="A131" s="2">
        <v>43496</v>
      </c>
      <c r="B131" t="s">
        <v>133</v>
      </c>
      <c r="C131" t="s">
        <v>242</v>
      </c>
      <c r="D131" t="s">
        <v>376</v>
      </c>
    </row>
    <row r="132" spans="1:4" x14ac:dyDescent="0.3">
      <c r="A132" s="2">
        <v>43524</v>
      </c>
      <c r="B132" t="s">
        <v>134</v>
      </c>
      <c r="C132" t="s">
        <v>243</v>
      </c>
      <c r="D132" t="s">
        <v>377</v>
      </c>
    </row>
    <row r="133" spans="1:4" x14ac:dyDescent="0.3">
      <c r="A133" s="2">
        <v>43553</v>
      </c>
      <c r="B133" t="s">
        <v>135</v>
      </c>
      <c r="C133" t="s">
        <v>244</v>
      </c>
      <c r="D133" t="s">
        <v>378</v>
      </c>
    </row>
    <row r="134" spans="1:4" x14ac:dyDescent="0.3">
      <c r="A134" s="2">
        <v>43585</v>
      </c>
      <c r="B134" t="s">
        <v>136</v>
      </c>
      <c r="C134" t="s">
        <v>245</v>
      </c>
      <c r="D134" t="s">
        <v>379</v>
      </c>
    </row>
    <row r="135" spans="1:4" x14ac:dyDescent="0.3">
      <c r="A135" s="2">
        <v>43616</v>
      </c>
      <c r="B135" t="s">
        <v>137</v>
      </c>
      <c r="C135" t="s">
        <v>246</v>
      </c>
      <c r="D135" t="s">
        <v>380</v>
      </c>
    </row>
    <row r="136" spans="1:4" x14ac:dyDescent="0.3">
      <c r="A136" s="2">
        <v>43644</v>
      </c>
      <c r="B136" t="s">
        <v>138</v>
      </c>
      <c r="C136" t="s">
        <v>247</v>
      </c>
      <c r="D136" t="s">
        <v>381</v>
      </c>
    </row>
    <row r="137" spans="1:4" x14ac:dyDescent="0.3">
      <c r="A137" s="2">
        <v>43677</v>
      </c>
      <c r="B137" t="s">
        <v>139</v>
      </c>
      <c r="C137" t="s">
        <v>248</v>
      </c>
      <c r="D137" t="s">
        <v>382</v>
      </c>
    </row>
    <row r="138" spans="1:4" x14ac:dyDescent="0.3">
      <c r="A138" s="2">
        <v>43707</v>
      </c>
      <c r="B138" t="s">
        <v>140</v>
      </c>
      <c r="C138" t="s">
        <v>249</v>
      </c>
      <c r="D138" t="s">
        <v>383</v>
      </c>
    </row>
    <row r="139" spans="1:4" x14ac:dyDescent="0.3">
      <c r="A139" s="2">
        <v>43738</v>
      </c>
      <c r="B139" t="s">
        <v>141</v>
      </c>
      <c r="C139" t="s">
        <v>250</v>
      </c>
      <c r="D139" t="s">
        <v>384</v>
      </c>
    </row>
    <row r="140" spans="1:4" x14ac:dyDescent="0.3">
      <c r="A140" s="2">
        <v>43769</v>
      </c>
      <c r="B140" t="s">
        <v>142</v>
      </c>
      <c r="C140" t="s">
        <v>251</v>
      </c>
      <c r="D140" t="s">
        <v>385</v>
      </c>
    </row>
    <row r="141" spans="1:4" x14ac:dyDescent="0.3">
      <c r="A141" s="2">
        <v>43798</v>
      </c>
      <c r="B141" t="s">
        <v>143</v>
      </c>
      <c r="C141" t="s">
        <v>252</v>
      </c>
      <c r="D141" t="s">
        <v>386</v>
      </c>
    </row>
    <row r="142" spans="1:4" x14ac:dyDescent="0.3">
      <c r="A142" s="2">
        <v>43829</v>
      </c>
      <c r="B142" t="s">
        <v>144</v>
      </c>
      <c r="C142" t="s">
        <v>253</v>
      </c>
      <c r="D142" t="s">
        <v>387</v>
      </c>
    </row>
    <row r="143" spans="1:4" x14ac:dyDescent="0.3">
      <c r="A143" s="2">
        <v>43861</v>
      </c>
      <c r="B143" t="s">
        <v>145</v>
      </c>
      <c r="C143" t="s">
        <v>254</v>
      </c>
      <c r="D143" t="s">
        <v>388</v>
      </c>
    </row>
    <row r="144" spans="1:4" x14ac:dyDescent="0.3">
      <c r="A144" s="2">
        <v>43889</v>
      </c>
      <c r="B144" t="s">
        <v>146</v>
      </c>
      <c r="C144" t="s">
        <v>255</v>
      </c>
      <c r="D144" t="s">
        <v>389</v>
      </c>
    </row>
    <row r="145" spans="1:4" x14ac:dyDescent="0.3">
      <c r="A145" s="2">
        <v>43921</v>
      </c>
      <c r="B145" t="s">
        <v>71</v>
      </c>
      <c r="C145" t="s">
        <v>256</v>
      </c>
      <c r="D145" t="s">
        <v>390</v>
      </c>
    </row>
    <row r="146" spans="1:4" x14ac:dyDescent="0.3">
      <c r="A146" s="2">
        <v>43950</v>
      </c>
      <c r="B146" t="s">
        <v>147</v>
      </c>
      <c r="C146" t="s">
        <v>257</v>
      </c>
      <c r="D146" t="s">
        <v>391</v>
      </c>
    </row>
    <row r="147" spans="1:4" x14ac:dyDescent="0.3">
      <c r="A147" s="2">
        <v>43980</v>
      </c>
      <c r="B147" t="s">
        <v>148</v>
      </c>
      <c r="C147" t="s">
        <v>258</v>
      </c>
      <c r="D147" t="s">
        <v>392</v>
      </c>
    </row>
    <row r="148" spans="1:4" x14ac:dyDescent="0.3">
      <c r="A148" s="2">
        <v>44012</v>
      </c>
      <c r="B148" t="s">
        <v>149</v>
      </c>
      <c r="C148" t="s">
        <v>259</v>
      </c>
      <c r="D148" t="s">
        <v>393</v>
      </c>
    </row>
    <row r="149" spans="1:4" x14ac:dyDescent="0.3">
      <c r="A149" s="2">
        <v>44043</v>
      </c>
      <c r="B149" t="s">
        <v>150</v>
      </c>
      <c r="C149" t="s">
        <v>260</v>
      </c>
      <c r="D149" t="s">
        <v>394</v>
      </c>
    </row>
    <row r="150" spans="1:4" x14ac:dyDescent="0.3">
      <c r="A150" s="2">
        <v>44074</v>
      </c>
      <c r="B150" t="s">
        <v>151</v>
      </c>
      <c r="C150" t="s">
        <v>261</v>
      </c>
      <c r="D150" t="s">
        <v>395</v>
      </c>
    </row>
    <row r="151" spans="1:4" x14ac:dyDescent="0.3">
      <c r="A151" s="2">
        <v>44103</v>
      </c>
      <c r="B151" t="s">
        <v>152</v>
      </c>
      <c r="C151" t="s">
        <v>262</v>
      </c>
      <c r="D151" t="s">
        <v>396</v>
      </c>
    </row>
    <row r="152" spans="1:4" x14ac:dyDescent="0.3">
      <c r="A152" s="2">
        <v>44134</v>
      </c>
      <c r="B152" t="s">
        <v>153</v>
      </c>
      <c r="C152" t="s">
        <v>263</v>
      </c>
      <c r="D152" t="s">
        <v>397</v>
      </c>
    </row>
    <row r="153" spans="1:4" x14ac:dyDescent="0.3">
      <c r="A153" s="2">
        <v>44155</v>
      </c>
      <c r="B153" t="s">
        <v>154</v>
      </c>
      <c r="C153" t="s">
        <v>264</v>
      </c>
      <c r="D153" t="s">
        <v>398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"/>
  <sheetViews>
    <sheetView workbookViewId="0">
      <selection activeCell="C6" sqref="C6"/>
    </sheetView>
  </sheetViews>
  <sheetFormatPr defaultRowHeight="16.5" x14ac:dyDescent="0.3"/>
  <cols>
    <col min="1" max="1" width="21.75" bestFit="1" customWidth="1"/>
    <col min="2" max="2" width="9.25" bestFit="1" customWidth="1"/>
    <col min="3" max="3" width="11.375" bestFit="1" customWidth="1"/>
    <col min="4" max="4" width="10.125" bestFit="1" customWidth="1"/>
    <col min="5" max="5" width="8.25" bestFit="1" customWidth="1"/>
    <col min="6" max="7" width="7.25" bestFit="1" customWidth="1"/>
    <col min="8" max="10" width="5.5" bestFit="1" customWidth="1"/>
    <col min="11" max="11" width="6.125" bestFit="1" customWidth="1"/>
    <col min="12" max="13" width="5.125" customWidth="1"/>
  </cols>
  <sheetData>
    <row r="1" spans="1:18" x14ac:dyDescent="0.3">
      <c r="A1" s="1" t="s">
        <v>3</v>
      </c>
      <c r="B1" s="1" t="s">
        <v>402</v>
      </c>
      <c r="C1" s="1" t="s">
        <v>403</v>
      </c>
      <c r="D1" s="1" t="s">
        <v>404</v>
      </c>
      <c r="E1" s="9" t="s">
        <v>400</v>
      </c>
      <c r="F1" s="8"/>
      <c r="G1" s="8"/>
      <c r="H1" s="8" t="s">
        <v>399</v>
      </c>
      <c r="I1" s="8"/>
      <c r="J1" s="8"/>
      <c r="K1" s="8" t="s">
        <v>401</v>
      </c>
      <c r="L1" s="8"/>
      <c r="M1" s="8"/>
    </row>
    <row r="2" spans="1:18" x14ac:dyDescent="0.3">
      <c r="A2" s="2">
        <v>39568</v>
      </c>
      <c r="B2" t="s">
        <v>4</v>
      </c>
      <c r="H2" s="6"/>
      <c r="I2" s="6"/>
      <c r="J2" s="6"/>
      <c r="K2" s="3"/>
      <c r="L2" s="3"/>
      <c r="M2" s="3"/>
      <c r="Q2" t="s">
        <v>405</v>
      </c>
      <c r="R2">
        <f>COUNT(N:N)</f>
        <v>140</v>
      </c>
    </row>
    <row r="3" spans="1:18" x14ac:dyDescent="0.3">
      <c r="A3" s="2">
        <v>39598</v>
      </c>
      <c r="B3" t="s">
        <v>5</v>
      </c>
      <c r="E3" s="4">
        <f>IFERROR(B3/B2-1,0)</f>
        <v>9.4908959612112209E-3</v>
      </c>
      <c r="F3" s="4">
        <f t="shared" ref="F3:G3" si="0">IFERROR(C3/C2-1,0)</f>
        <v>0</v>
      </c>
      <c r="G3" s="4">
        <f t="shared" si="0"/>
        <v>0</v>
      </c>
      <c r="H3" s="6"/>
      <c r="I3" s="6"/>
      <c r="J3" s="6"/>
      <c r="K3" s="3"/>
      <c r="L3" s="3"/>
      <c r="M3" s="3"/>
      <c r="Q3" t="s">
        <v>406</v>
      </c>
      <c r="R3">
        <f ca="1">OFFSET(N13,R2,0)</f>
        <v>2.0825419711825655</v>
      </c>
    </row>
    <row r="4" spans="1:18" x14ac:dyDescent="0.3">
      <c r="A4" s="2">
        <v>39629</v>
      </c>
      <c r="B4" t="s">
        <v>6</v>
      </c>
      <c r="E4" s="4">
        <f t="shared" ref="E4:E67" si="1">IFERROR(B4/B3-1,0)</f>
        <v>-5.3804097899953995E-2</v>
      </c>
      <c r="F4" s="4">
        <f t="shared" ref="F4:F67" si="2">IFERROR(C4/C3-1,0)</f>
        <v>0</v>
      </c>
      <c r="G4" s="4">
        <f t="shared" ref="G4:G67" si="3">IFERROR(D4/D3-1,0)</f>
        <v>0</v>
      </c>
      <c r="H4" s="6"/>
      <c r="I4" s="6"/>
      <c r="J4" s="6"/>
      <c r="K4" s="3"/>
      <c r="L4" s="3"/>
      <c r="M4" s="3"/>
      <c r="Q4" t="s">
        <v>407</v>
      </c>
      <c r="R4" s="4">
        <f ca="1">R3^(1/(R2-1))^12-1</f>
        <v>6.5379896585398445E-2</v>
      </c>
    </row>
    <row r="5" spans="1:18" x14ac:dyDescent="0.3">
      <c r="A5" s="2">
        <v>39660</v>
      </c>
      <c r="B5" t="s">
        <v>7</v>
      </c>
      <c r="E5" s="4">
        <f t="shared" si="1"/>
        <v>-9.0776541743168848E-2</v>
      </c>
      <c r="F5" s="4">
        <f t="shared" si="2"/>
        <v>0</v>
      </c>
      <c r="G5" s="4">
        <f t="shared" si="3"/>
        <v>0</v>
      </c>
      <c r="H5" s="6"/>
      <c r="I5" s="6"/>
      <c r="J5" s="6"/>
      <c r="K5" s="3"/>
      <c r="L5" s="3"/>
      <c r="M5" s="3"/>
      <c r="Q5" t="s">
        <v>410</v>
      </c>
      <c r="R5" s="4">
        <f>MIN(O:O)</f>
        <v>-9.7110543924930237E-2</v>
      </c>
    </row>
    <row r="6" spans="1:18" x14ac:dyDescent="0.3">
      <c r="A6" s="2">
        <v>39689</v>
      </c>
      <c r="B6" t="s">
        <v>8</v>
      </c>
      <c r="E6" s="4">
        <f t="shared" si="1"/>
        <v>-6.414444378452222E-2</v>
      </c>
      <c r="F6" s="4">
        <f t="shared" si="2"/>
        <v>0</v>
      </c>
      <c r="G6" s="4">
        <f t="shared" si="3"/>
        <v>0</v>
      </c>
      <c r="H6" s="6"/>
      <c r="I6" s="6"/>
      <c r="J6" s="6"/>
      <c r="K6" s="3"/>
      <c r="L6" s="3"/>
      <c r="M6" s="3"/>
    </row>
    <row r="7" spans="1:18" x14ac:dyDescent="0.3">
      <c r="A7" s="2">
        <v>39721</v>
      </c>
      <c r="B7" t="s">
        <v>9</v>
      </c>
      <c r="E7" s="4">
        <f t="shared" si="1"/>
        <v>-2.963762137462711E-2</v>
      </c>
      <c r="F7" s="4">
        <f t="shared" si="2"/>
        <v>0</v>
      </c>
      <c r="G7" s="4">
        <f t="shared" si="3"/>
        <v>0</v>
      </c>
      <c r="H7" s="6"/>
      <c r="I7" s="6"/>
      <c r="J7" s="6"/>
      <c r="K7" s="3"/>
      <c r="L7" s="3"/>
      <c r="M7" s="3"/>
    </row>
    <row r="8" spans="1:18" x14ac:dyDescent="0.3">
      <c r="A8" s="2">
        <v>39752</v>
      </c>
      <c r="B8" t="s">
        <v>10</v>
      </c>
      <c r="E8" s="4">
        <f t="shared" si="1"/>
        <v>-0.20542838456507517</v>
      </c>
      <c r="F8" s="4">
        <f t="shared" si="2"/>
        <v>0</v>
      </c>
      <c r="G8" s="4">
        <f t="shared" si="3"/>
        <v>0</v>
      </c>
      <c r="H8" s="6"/>
      <c r="I8" s="6"/>
      <c r="J8" s="6"/>
      <c r="K8" s="3"/>
      <c r="L8" s="3"/>
      <c r="M8" s="3"/>
    </row>
    <row r="9" spans="1:18" x14ac:dyDescent="0.3">
      <c r="A9" s="2">
        <v>39780</v>
      </c>
      <c r="B9" t="s">
        <v>11</v>
      </c>
      <c r="E9" s="4">
        <f t="shared" si="1"/>
        <v>-1.2346695201250757E-3</v>
      </c>
      <c r="F9" s="4">
        <f t="shared" si="2"/>
        <v>0</v>
      </c>
      <c r="G9" s="4">
        <f t="shared" si="3"/>
        <v>0</v>
      </c>
      <c r="H9" s="6"/>
      <c r="I9" s="6"/>
      <c r="J9" s="6"/>
      <c r="K9" s="3"/>
      <c r="L9" s="3"/>
      <c r="M9" s="3"/>
    </row>
    <row r="10" spans="1:18" x14ac:dyDescent="0.3">
      <c r="A10" s="2">
        <v>39812</v>
      </c>
      <c r="B10" t="s">
        <v>12</v>
      </c>
      <c r="E10" s="4">
        <f t="shared" si="1"/>
        <v>1.3350914784902024E-2</v>
      </c>
      <c r="F10" s="4">
        <f t="shared" si="2"/>
        <v>0</v>
      </c>
      <c r="G10" s="4">
        <f t="shared" si="3"/>
        <v>0</v>
      </c>
      <c r="H10" s="6"/>
      <c r="I10" s="6"/>
      <c r="J10" s="6"/>
      <c r="K10" s="3"/>
      <c r="L10" s="3"/>
      <c r="M10" s="3"/>
    </row>
    <row r="11" spans="1:18" x14ac:dyDescent="0.3">
      <c r="A11" s="2">
        <v>39843</v>
      </c>
      <c r="B11" t="s">
        <v>13</v>
      </c>
      <c r="E11" s="4">
        <f t="shared" si="1"/>
        <v>3.3669486011711047E-2</v>
      </c>
      <c r="F11" s="4">
        <f t="shared" si="2"/>
        <v>0</v>
      </c>
      <c r="G11" s="4">
        <f t="shared" si="3"/>
        <v>0</v>
      </c>
      <c r="H11" s="6"/>
      <c r="I11" s="6"/>
      <c r="J11" s="6"/>
      <c r="K11" s="3"/>
      <c r="L11" s="3"/>
      <c r="M11" s="3"/>
    </row>
    <row r="12" spans="1:18" x14ac:dyDescent="0.3">
      <c r="A12" s="2">
        <v>39871</v>
      </c>
      <c r="B12" t="s">
        <v>14</v>
      </c>
      <c r="E12" s="4">
        <f t="shared" si="1"/>
        <v>-9.3941778127458742E-2</v>
      </c>
      <c r="F12" s="4">
        <f t="shared" si="2"/>
        <v>0</v>
      </c>
      <c r="G12" s="4">
        <f t="shared" si="3"/>
        <v>0</v>
      </c>
      <c r="H12" s="6"/>
      <c r="I12" s="6"/>
      <c r="J12" s="6"/>
      <c r="K12" s="3"/>
      <c r="L12" s="3"/>
      <c r="M12" s="3"/>
    </row>
    <row r="13" spans="1:18" x14ac:dyDescent="0.3">
      <c r="A13" s="2">
        <v>39903</v>
      </c>
      <c r="B13" t="s">
        <v>15</v>
      </c>
      <c r="E13" s="4">
        <f t="shared" si="1"/>
        <v>0.14458145189301841</v>
      </c>
      <c r="F13" s="4">
        <f t="shared" si="2"/>
        <v>0</v>
      </c>
      <c r="G13" s="4">
        <f t="shared" si="3"/>
        <v>0</v>
      </c>
      <c r="H13" s="6"/>
      <c r="I13" s="6"/>
      <c r="J13" s="6"/>
      <c r="K13" s="3"/>
      <c r="L13" s="3"/>
      <c r="M13" s="3"/>
      <c r="N13" t="s">
        <v>408</v>
      </c>
      <c r="O13" t="s">
        <v>409</v>
      </c>
    </row>
    <row r="14" spans="1:18" x14ac:dyDescent="0.3">
      <c r="A14" s="2">
        <v>39933</v>
      </c>
      <c r="B14" t="s">
        <v>16</v>
      </c>
      <c r="E14" s="4">
        <f t="shared" si="1"/>
        <v>0.11251043168196651</v>
      </c>
      <c r="F14" s="4">
        <f t="shared" si="2"/>
        <v>0</v>
      </c>
      <c r="G14" s="4">
        <f t="shared" si="3"/>
        <v>0</v>
      </c>
      <c r="H14" s="7">
        <f>IFERROR(B14/B13+B14/B12+B14/B11+B14/B10+B14/B9+B14/B8+B14/B7+B14/B6+B14/B5+B14/B4+B14/B3+B14/B2,0)</f>
        <v>12.205871768588446</v>
      </c>
      <c r="I14" s="7">
        <f t="shared" ref="I14:J14" si="4">IFERROR(C14/C13+C14/C12+C14/C11+C14/C10+C14/C9+C14/C8+C14/C7+C14/C6+C14/C5+C14/C4+C14/C3+C14/C2,0)</f>
        <v>0</v>
      </c>
      <c r="J14" s="7">
        <f t="shared" si="4"/>
        <v>0</v>
      </c>
      <c r="K14" s="3">
        <f t="shared" ref="K14:K66" si="5">H14/SUM($H14:$J14)</f>
        <v>1</v>
      </c>
      <c r="L14" s="3">
        <f t="shared" ref="L14:L66" si="6">I14/SUM($H14:$J14)</f>
        <v>0</v>
      </c>
      <c r="M14" s="3">
        <f t="shared" ref="M14:M66" si="7">J14/SUM($H14:$J14)</f>
        <v>0</v>
      </c>
      <c r="N14">
        <v>1</v>
      </c>
      <c r="O14" s="4">
        <f>N14/MAX(N$14:N14)-1</f>
        <v>0</v>
      </c>
    </row>
    <row r="15" spans="1:18" x14ac:dyDescent="0.3">
      <c r="A15" s="2">
        <v>39962</v>
      </c>
      <c r="B15" t="s">
        <v>17</v>
      </c>
      <c r="E15" s="4">
        <f t="shared" si="1"/>
        <v>1.9026186579378157E-2</v>
      </c>
      <c r="F15" s="4">
        <f t="shared" si="2"/>
        <v>0</v>
      </c>
      <c r="G15" s="4">
        <f t="shared" si="3"/>
        <v>0</v>
      </c>
      <c r="H15" s="7">
        <f t="shared" ref="H15:H78" si="8">IFERROR(B15/B14+B15/B13+B15/B12+B15/B11+B15/B10+B15/B9+B15/B8+B15/B7+B15/B6+B15/B5+B15/B4+B15/B3,0)</f>
        <v>12.686354918646725</v>
      </c>
      <c r="I15" s="7">
        <f t="shared" ref="I15:I78" si="9">IFERROR(C15/C14+C15/C13+C15/C12+C15/C11+C15/C10+C15/C9+C15/C8+C15/C7+C15/C6+C15/C5+C15/C4+C15/C3,0)</f>
        <v>0</v>
      </c>
      <c r="J15" s="7">
        <f t="shared" ref="J15:J78" si="10">IFERROR(D15/D14+D15/D13+D15/D12+D15/D11+D15/D10+D15/D9+D15/D8+D15/D7+D15/D6+D15/D5+D15/D4+D15/D3,0)</f>
        <v>0</v>
      </c>
      <c r="K15" s="3">
        <f t="shared" si="5"/>
        <v>1</v>
      </c>
      <c r="L15" s="3">
        <f t="shared" si="6"/>
        <v>0</v>
      </c>
      <c r="M15" s="3">
        <f t="shared" si="7"/>
        <v>0</v>
      </c>
      <c r="N15">
        <f t="shared" ref="N15:N67" si="11">(1+SUMPRODUCT(K14:M14,E15:G15))*N14</f>
        <v>1.0190261865793782</v>
      </c>
      <c r="O15" s="4">
        <f>N15/MAX(N$14:N15)-1</f>
        <v>0</v>
      </c>
    </row>
    <row r="16" spans="1:18" x14ac:dyDescent="0.3">
      <c r="A16" s="2">
        <v>39994</v>
      </c>
      <c r="B16" t="s">
        <v>18</v>
      </c>
      <c r="E16" s="4">
        <f t="shared" si="1"/>
        <v>1.4655691628187029E-2</v>
      </c>
      <c r="F16" s="4">
        <f t="shared" si="2"/>
        <v>0</v>
      </c>
      <c r="G16" s="4">
        <f t="shared" si="3"/>
        <v>0</v>
      </c>
      <c r="H16" s="7">
        <f t="shared" si="8"/>
        <v>13.112220221300278</v>
      </c>
      <c r="I16" s="7">
        <f t="shared" si="9"/>
        <v>0</v>
      </c>
      <c r="J16" s="7">
        <f t="shared" si="10"/>
        <v>0</v>
      </c>
      <c r="K16" s="3">
        <f t="shared" si="5"/>
        <v>1</v>
      </c>
      <c r="L16" s="3">
        <f t="shared" si="6"/>
        <v>0</v>
      </c>
      <c r="M16" s="3">
        <f t="shared" si="7"/>
        <v>0</v>
      </c>
      <c r="N16">
        <f t="shared" si="11"/>
        <v>1.0339607201309329</v>
      </c>
      <c r="O16" s="4">
        <f>N16/MAX(N$14:N16)-1</f>
        <v>0</v>
      </c>
    </row>
    <row r="17" spans="1:15" x14ac:dyDescent="0.3">
      <c r="A17" s="2">
        <v>40025</v>
      </c>
      <c r="B17" t="s">
        <v>19</v>
      </c>
      <c r="D17" t="s">
        <v>265</v>
      </c>
      <c r="E17" s="4">
        <f t="shared" si="1"/>
        <v>0.11845402981137054</v>
      </c>
      <c r="F17" s="4">
        <f t="shared" si="2"/>
        <v>0</v>
      </c>
      <c r="G17" s="4">
        <f t="shared" si="3"/>
        <v>0</v>
      </c>
      <c r="H17" s="7">
        <f t="shared" si="8"/>
        <v>14.868111934884851</v>
      </c>
      <c r="I17" s="7">
        <f t="shared" si="9"/>
        <v>0</v>
      </c>
      <c r="J17" s="7">
        <f t="shared" si="10"/>
        <v>0</v>
      </c>
      <c r="K17" s="3">
        <f t="shared" si="5"/>
        <v>1</v>
      </c>
      <c r="L17" s="3">
        <f t="shared" si="6"/>
        <v>0</v>
      </c>
      <c r="M17" s="3">
        <f t="shared" si="7"/>
        <v>0</v>
      </c>
      <c r="N17">
        <f t="shared" si="11"/>
        <v>1.1564375340971085</v>
      </c>
      <c r="O17" s="4">
        <f>N17/MAX(N$14:N17)-1</f>
        <v>0</v>
      </c>
    </row>
    <row r="18" spans="1:15" x14ac:dyDescent="0.3">
      <c r="A18" s="2">
        <v>40056</v>
      </c>
      <c r="B18" t="s">
        <v>20</v>
      </c>
      <c r="D18" t="s">
        <v>266</v>
      </c>
      <c r="E18" s="4">
        <f t="shared" si="1"/>
        <v>1.8162519164995894E-2</v>
      </c>
      <c r="F18" s="4">
        <f t="shared" si="2"/>
        <v>0</v>
      </c>
      <c r="G18" s="4">
        <f t="shared" si="3"/>
        <v>-3.4647811413245355E-3</v>
      </c>
      <c r="H18" s="7">
        <f t="shared" si="8"/>
        <v>15.130837223511202</v>
      </c>
      <c r="I18" s="7">
        <f t="shared" si="9"/>
        <v>0</v>
      </c>
      <c r="J18" s="7">
        <f t="shared" si="10"/>
        <v>0</v>
      </c>
      <c r="K18" s="3">
        <f t="shared" si="5"/>
        <v>1</v>
      </c>
      <c r="L18" s="3">
        <f t="shared" si="6"/>
        <v>0</v>
      </c>
      <c r="M18" s="3">
        <f t="shared" si="7"/>
        <v>0</v>
      </c>
      <c r="N18">
        <f t="shared" si="11"/>
        <v>1.1774413529732679</v>
      </c>
      <c r="O18" s="4">
        <f>N18/MAX(N$14:N18)-1</f>
        <v>0</v>
      </c>
    </row>
    <row r="19" spans="1:15" x14ac:dyDescent="0.3">
      <c r="A19" s="2">
        <v>40086</v>
      </c>
      <c r="B19" t="s">
        <v>21</v>
      </c>
      <c r="D19" t="s">
        <v>267</v>
      </c>
      <c r="E19" s="4">
        <f t="shared" si="1"/>
        <v>6.2840264102861143E-2</v>
      </c>
      <c r="F19" s="4">
        <f t="shared" si="2"/>
        <v>0</v>
      </c>
      <c r="G19" s="4">
        <f t="shared" si="3"/>
        <v>5.8848526211416896E-3</v>
      </c>
      <c r="H19" s="7">
        <f t="shared" si="8"/>
        <v>15.979878048914458</v>
      </c>
      <c r="I19" s="7">
        <f t="shared" si="9"/>
        <v>0</v>
      </c>
      <c r="J19" s="7">
        <f t="shared" si="10"/>
        <v>0</v>
      </c>
      <c r="K19" s="3">
        <f t="shared" si="5"/>
        <v>1</v>
      </c>
      <c r="L19" s="3">
        <f t="shared" si="6"/>
        <v>0</v>
      </c>
      <c r="M19" s="3">
        <f t="shared" si="7"/>
        <v>0</v>
      </c>
      <c r="N19">
        <f t="shared" si="11"/>
        <v>1.2514320785597381</v>
      </c>
      <c r="O19" s="4">
        <f>N19/MAX(N$14:N19)-1</f>
        <v>0</v>
      </c>
    </row>
    <row r="20" spans="1:15" x14ac:dyDescent="0.3">
      <c r="A20" s="2">
        <v>40116</v>
      </c>
      <c r="B20" t="s">
        <v>22</v>
      </c>
      <c r="D20" t="s">
        <v>268</v>
      </c>
      <c r="E20" s="4">
        <f t="shared" si="1"/>
        <v>-6.1958476377309113E-2</v>
      </c>
      <c r="F20" s="4">
        <f t="shared" si="2"/>
        <v>0</v>
      </c>
      <c r="G20" s="4">
        <f t="shared" si="3"/>
        <v>1.6642343241923818E-4</v>
      </c>
      <c r="H20" s="7">
        <f t="shared" si="8"/>
        <v>14.80199679757934</v>
      </c>
      <c r="I20" s="7">
        <f t="shared" si="9"/>
        <v>0</v>
      </c>
      <c r="J20" s="7">
        <f t="shared" si="10"/>
        <v>0</v>
      </c>
      <c r="K20" s="3">
        <f t="shared" si="5"/>
        <v>1</v>
      </c>
      <c r="L20" s="3">
        <f t="shared" si="6"/>
        <v>0</v>
      </c>
      <c r="M20" s="3">
        <f t="shared" si="7"/>
        <v>0</v>
      </c>
      <c r="N20">
        <f t="shared" si="11"/>
        <v>1.1738952536824878</v>
      </c>
      <c r="O20" s="4">
        <f>N20/MAX(N$14:N20)-1</f>
        <v>-6.1958476377309113E-2</v>
      </c>
    </row>
    <row r="21" spans="1:15" x14ac:dyDescent="0.3">
      <c r="A21" s="2">
        <v>40147</v>
      </c>
      <c r="B21" t="s">
        <v>23</v>
      </c>
      <c r="D21" t="s">
        <v>269</v>
      </c>
      <c r="E21" s="4">
        <f t="shared" si="1"/>
        <v>-9.2947600790054263E-3</v>
      </c>
      <c r="F21" s="4">
        <f t="shared" si="2"/>
        <v>0</v>
      </c>
      <c r="G21" s="4">
        <f t="shared" si="3"/>
        <v>1.501401564119953E-2</v>
      </c>
      <c r="H21" s="7">
        <f t="shared" si="8"/>
        <v>14.251384095495716</v>
      </c>
      <c r="I21" s="7">
        <f t="shared" si="9"/>
        <v>0</v>
      </c>
      <c r="J21" s="7">
        <f t="shared" si="10"/>
        <v>0</v>
      </c>
      <c r="K21" s="3">
        <f t="shared" si="5"/>
        <v>1</v>
      </c>
      <c r="L21" s="3">
        <f t="shared" si="6"/>
        <v>0</v>
      </c>
      <c r="M21" s="3">
        <f t="shared" si="7"/>
        <v>0</v>
      </c>
      <c r="N21">
        <f t="shared" si="11"/>
        <v>1.162984178941626</v>
      </c>
      <c r="O21" s="4">
        <f>N21/MAX(N$14:N21)-1</f>
        <v>-7.0677347283526593E-2</v>
      </c>
    </row>
    <row r="22" spans="1:15" x14ac:dyDescent="0.3">
      <c r="A22" s="2">
        <v>40177</v>
      </c>
      <c r="B22" t="s">
        <v>24</v>
      </c>
      <c r="D22" t="s">
        <v>270</v>
      </c>
      <c r="E22" s="4">
        <f t="shared" si="1"/>
        <v>9.516828896446583E-2</v>
      </c>
      <c r="F22" s="4">
        <f t="shared" si="2"/>
        <v>0</v>
      </c>
      <c r="G22" s="4">
        <f t="shared" si="3"/>
        <v>-4.6279949558638567E-3</v>
      </c>
      <c r="H22" s="7">
        <f t="shared" si="8"/>
        <v>15.163603610391482</v>
      </c>
      <c r="I22" s="7">
        <f t="shared" si="9"/>
        <v>0</v>
      </c>
      <c r="J22" s="7">
        <f t="shared" si="10"/>
        <v>0</v>
      </c>
      <c r="K22" s="3">
        <f t="shared" si="5"/>
        <v>1</v>
      </c>
      <c r="L22" s="3">
        <f t="shared" si="6"/>
        <v>0</v>
      </c>
      <c r="M22" s="3">
        <f t="shared" si="7"/>
        <v>0</v>
      </c>
      <c r="N22">
        <f t="shared" si="11"/>
        <v>1.2736633933442447</v>
      </c>
      <c r="O22" s="4">
        <f>N22/MAX(N$14:N22)-1</f>
        <v>0</v>
      </c>
    </row>
    <row r="23" spans="1:15" x14ac:dyDescent="0.3">
      <c r="A23" s="2">
        <v>40207</v>
      </c>
      <c r="B23" t="s">
        <v>25</v>
      </c>
      <c r="D23" t="s">
        <v>271</v>
      </c>
      <c r="E23" s="4">
        <f t="shared" si="1"/>
        <v>-5.2899287894201397E-2</v>
      </c>
      <c r="F23" s="4">
        <f t="shared" si="2"/>
        <v>0</v>
      </c>
      <c r="G23" s="4">
        <f t="shared" si="3"/>
        <v>8.2348320727705371E-3</v>
      </c>
      <c r="H23" s="7">
        <f t="shared" si="8"/>
        <v>13.86996257157551</v>
      </c>
      <c r="I23" s="7">
        <f t="shared" si="9"/>
        <v>0</v>
      </c>
      <c r="J23" s="7">
        <f t="shared" si="10"/>
        <v>0</v>
      </c>
      <c r="K23" s="3">
        <f t="shared" si="5"/>
        <v>1</v>
      </c>
      <c r="L23" s="3">
        <f t="shared" si="6"/>
        <v>0</v>
      </c>
      <c r="M23" s="3">
        <f t="shared" si="7"/>
        <v>0</v>
      </c>
      <c r="N23">
        <f t="shared" si="11"/>
        <v>1.2062875068194221</v>
      </c>
      <c r="O23" s="4">
        <f>N23/MAX(N$14:N23)-1</f>
        <v>-5.2899287894201397E-2</v>
      </c>
    </row>
    <row r="24" spans="1:15" x14ac:dyDescent="0.3">
      <c r="A24" s="2">
        <v>40235</v>
      </c>
      <c r="B24" t="s">
        <v>26</v>
      </c>
      <c r="D24" t="s">
        <v>272</v>
      </c>
      <c r="E24" s="4">
        <f t="shared" si="1"/>
        <v>-8.1406523828367883E-3</v>
      </c>
      <c r="F24" s="4">
        <f t="shared" si="2"/>
        <v>0</v>
      </c>
      <c r="G24" s="4">
        <f t="shared" si="3"/>
        <v>8.9089378384830109E-3</v>
      </c>
      <c r="H24" s="7">
        <f t="shared" si="8"/>
        <v>13.368502248662605</v>
      </c>
      <c r="I24" s="7">
        <f t="shared" si="9"/>
        <v>0</v>
      </c>
      <c r="J24" s="7">
        <f t="shared" si="10"/>
        <v>0</v>
      </c>
      <c r="K24" s="3">
        <f t="shared" si="5"/>
        <v>1</v>
      </c>
      <c r="L24" s="3">
        <f t="shared" si="6"/>
        <v>0</v>
      </c>
      <c r="M24" s="3">
        <f t="shared" si="7"/>
        <v>0</v>
      </c>
      <c r="N24">
        <f t="shared" si="11"/>
        <v>1.1964675395526463</v>
      </c>
      <c r="O24" s="4">
        <f>N24/MAX(N$14:N24)-1</f>
        <v>-6.0609305562991822E-2</v>
      </c>
    </row>
    <row r="25" spans="1:15" x14ac:dyDescent="0.3">
      <c r="A25" s="2">
        <v>40268</v>
      </c>
      <c r="B25" t="s">
        <v>27</v>
      </c>
      <c r="D25" t="s">
        <v>273</v>
      </c>
      <c r="E25" s="4">
        <f t="shared" si="1"/>
        <v>6.406383585066977E-2</v>
      </c>
      <c r="F25" s="4">
        <f t="shared" si="2"/>
        <v>0</v>
      </c>
      <c r="G25" s="4">
        <f t="shared" si="3"/>
        <v>9.6273601355054694E-3</v>
      </c>
      <c r="H25" s="7">
        <f t="shared" si="8"/>
        <v>13.667867807095403</v>
      </c>
      <c r="I25" s="7">
        <f t="shared" si="9"/>
        <v>0</v>
      </c>
      <c r="J25" s="7">
        <f t="shared" si="10"/>
        <v>0</v>
      </c>
      <c r="K25" s="3">
        <f t="shared" si="5"/>
        <v>1</v>
      </c>
      <c r="L25" s="3">
        <f t="shared" si="6"/>
        <v>0</v>
      </c>
      <c r="M25" s="3">
        <f t="shared" si="7"/>
        <v>0</v>
      </c>
      <c r="N25">
        <f t="shared" si="11"/>
        <v>1.2731178396072018</v>
      </c>
      <c r="O25" s="4">
        <f>N25/MAX(N$14:N25)-1</f>
        <v>-4.2833431493261021E-4</v>
      </c>
    </row>
    <row r="26" spans="1:15" x14ac:dyDescent="0.3">
      <c r="A26" s="2">
        <v>40298</v>
      </c>
      <c r="B26" t="s">
        <v>28</v>
      </c>
      <c r="D26" t="s">
        <v>274</v>
      </c>
      <c r="E26" s="4">
        <f t="shared" si="1"/>
        <v>2.9514167871873109E-2</v>
      </c>
      <c r="F26" s="4">
        <f t="shared" si="2"/>
        <v>0</v>
      </c>
      <c r="G26" s="4">
        <f t="shared" si="3"/>
        <v>1.0189354221920688E-2</v>
      </c>
      <c r="H26" s="7">
        <f t="shared" si="8"/>
        <v>13.642618247909237</v>
      </c>
      <c r="I26" s="7">
        <f t="shared" si="9"/>
        <v>0</v>
      </c>
      <c r="J26" s="7">
        <f t="shared" si="10"/>
        <v>0</v>
      </c>
      <c r="K26" s="3">
        <f t="shared" si="5"/>
        <v>1</v>
      </c>
      <c r="L26" s="3">
        <f t="shared" si="6"/>
        <v>0</v>
      </c>
      <c r="M26" s="3">
        <f t="shared" si="7"/>
        <v>0</v>
      </c>
      <c r="N26">
        <f t="shared" si="11"/>
        <v>1.3106928532460451</v>
      </c>
      <c r="O26" s="4">
        <f>N26/MAX(N$14:N26)-1</f>
        <v>0</v>
      </c>
    </row>
    <row r="27" spans="1:15" x14ac:dyDescent="0.3">
      <c r="A27" s="2">
        <v>40329</v>
      </c>
      <c r="B27" t="s">
        <v>29</v>
      </c>
      <c r="D27" t="s">
        <v>275</v>
      </c>
      <c r="E27" s="4">
        <f t="shared" si="1"/>
        <v>4.5837669094693112E-2</v>
      </c>
      <c r="F27" s="4">
        <f t="shared" si="2"/>
        <v>0</v>
      </c>
      <c r="G27" s="4">
        <f t="shared" si="3"/>
        <v>1.8072804093245409E-3</v>
      </c>
      <c r="H27" s="7">
        <f t="shared" si="8"/>
        <v>13.943029779298897</v>
      </c>
      <c r="I27" s="7">
        <f t="shared" si="9"/>
        <v>0</v>
      </c>
      <c r="J27" s="7">
        <f t="shared" si="10"/>
        <v>0</v>
      </c>
      <c r="K27" s="3">
        <f t="shared" si="5"/>
        <v>1</v>
      </c>
      <c r="L27" s="3">
        <f t="shared" si="6"/>
        <v>0</v>
      </c>
      <c r="M27" s="3">
        <f t="shared" si="7"/>
        <v>0</v>
      </c>
      <c r="N27">
        <f t="shared" si="11"/>
        <v>1.3707719585379166</v>
      </c>
      <c r="O27" s="4">
        <f>N27/MAX(N$14:N27)-1</f>
        <v>0</v>
      </c>
    </row>
    <row r="28" spans="1:15" x14ac:dyDescent="0.3">
      <c r="A28" s="2">
        <v>40359</v>
      </c>
      <c r="B28" t="s">
        <v>30</v>
      </c>
      <c r="D28" t="s">
        <v>276</v>
      </c>
      <c r="E28" s="4">
        <f t="shared" si="1"/>
        <v>-7.6065867369782603E-2</v>
      </c>
      <c r="F28" s="4">
        <f t="shared" si="2"/>
        <v>0</v>
      </c>
      <c r="G28" s="4">
        <f t="shared" si="3"/>
        <v>-1.1945538097734021E-3</v>
      </c>
      <c r="H28" s="7">
        <f t="shared" si="8"/>
        <v>12.563519071160698</v>
      </c>
      <c r="I28" s="7">
        <f t="shared" si="9"/>
        <v>0</v>
      </c>
      <c r="J28" s="7">
        <f t="shared" si="10"/>
        <v>0</v>
      </c>
      <c r="K28" s="3">
        <f t="shared" si="5"/>
        <v>1</v>
      </c>
      <c r="L28" s="3">
        <f t="shared" si="6"/>
        <v>0</v>
      </c>
      <c r="M28" s="3">
        <f t="shared" si="7"/>
        <v>0</v>
      </c>
      <c r="N28">
        <f t="shared" si="11"/>
        <v>1.2665030005455542</v>
      </c>
      <c r="O28" s="4">
        <f>N28/MAX(N$14:N28)-1</f>
        <v>-7.6065867369782603E-2</v>
      </c>
    </row>
    <row r="29" spans="1:15" x14ac:dyDescent="0.3">
      <c r="A29" s="2">
        <v>40389</v>
      </c>
      <c r="B29" t="s">
        <v>31</v>
      </c>
      <c r="D29" t="s">
        <v>277</v>
      </c>
      <c r="E29" s="4">
        <f t="shared" si="1"/>
        <v>4.1783329743700248E-2</v>
      </c>
      <c r="F29" s="4">
        <f t="shared" si="2"/>
        <v>0</v>
      </c>
      <c r="G29" s="4">
        <f t="shared" si="3"/>
        <v>5.6259991945424304E-3</v>
      </c>
      <c r="H29" s="7">
        <f t="shared" si="8"/>
        <v>12.854163111780826</v>
      </c>
      <c r="I29" s="7">
        <f t="shared" si="9"/>
        <v>0</v>
      </c>
      <c r="J29" s="7">
        <f t="shared" si="10"/>
        <v>12.405691117635396</v>
      </c>
      <c r="K29" s="3">
        <f t="shared" si="5"/>
        <v>0.50887716908562297</v>
      </c>
      <c r="L29" s="3">
        <f t="shared" si="6"/>
        <v>0</v>
      </c>
      <c r="M29" s="3">
        <f t="shared" si="7"/>
        <v>0.49112283091437708</v>
      </c>
      <c r="N29">
        <f t="shared" si="11"/>
        <v>1.3194217130387349</v>
      </c>
      <c r="O29" s="4">
        <f>N29/MAX(N$14:N29)-1</f>
        <v>-3.7460822844634589E-2</v>
      </c>
    </row>
    <row r="30" spans="1:15" x14ac:dyDescent="0.3">
      <c r="A30" s="2">
        <v>40421</v>
      </c>
      <c r="B30" t="s">
        <v>32</v>
      </c>
      <c r="D30" t="s">
        <v>278</v>
      </c>
      <c r="E30" s="4">
        <f t="shared" si="1"/>
        <v>-1.4265040314244359E-2</v>
      </c>
      <c r="F30" s="4">
        <f t="shared" si="2"/>
        <v>0</v>
      </c>
      <c r="G30" s="4">
        <f t="shared" si="3"/>
        <v>1.1759423314968043E-2</v>
      </c>
      <c r="H30" s="7">
        <f t="shared" si="8"/>
        <v>12.53187198947505</v>
      </c>
      <c r="I30" s="7">
        <f t="shared" si="9"/>
        <v>0</v>
      </c>
      <c r="J30" s="7">
        <f t="shared" si="10"/>
        <v>12.49347406049008</v>
      </c>
      <c r="K30" s="3">
        <f t="shared" si="5"/>
        <v>0.50076718077960447</v>
      </c>
      <c r="L30" s="3">
        <f t="shared" si="6"/>
        <v>0</v>
      </c>
      <c r="M30" s="3">
        <f t="shared" si="7"/>
        <v>0.49923281922039547</v>
      </c>
      <c r="N30">
        <f t="shared" si="11"/>
        <v>1.3174639127954688</v>
      </c>
      <c r="O30" s="4">
        <f>N30/MAX(N$14:N30)-1</f>
        <v>-3.8889069338204685E-2</v>
      </c>
    </row>
    <row r="31" spans="1:15" x14ac:dyDescent="0.3">
      <c r="A31" s="2">
        <v>40451</v>
      </c>
      <c r="B31" t="s">
        <v>33</v>
      </c>
      <c r="D31" t="s">
        <v>279</v>
      </c>
      <c r="E31" s="4">
        <f t="shared" si="1"/>
        <v>7.1361157718120793E-2</v>
      </c>
      <c r="F31" s="4">
        <f t="shared" si="2"/>
        <v>0</v>
      </c>
      <c r="G31" s="4">
        <f t="shared" si="3"/>
        <v>1.0459272408871234E-2</v>
      </c>
      <c r="H31" s="7">
        <f t="shared" si="8"/>
        <v>13.314097970309971</v>
      </c>
      <c r="I31" s="7">
        <f t="shared" si="9"/>
        <v>0</v>
      </c>
      <c r="J31" s="7">
        <f t="shared" si="10"/>
        <v>12.549797142562422</v>
      </c>
      <c r="K31" s="3">
        <f t="shared" si="5"/>
        <v>0.5147754393607783</v>
      </c>
      <c r="L31" s="3">
        <f t="shared" si="6"/>
        <v>0</v>
      </c>
      <c r="M31" s="3">
        <f t="shared" si="7"/>
        <v>0.48522456063922181</v>
      </c>
      <c r="N31">
        <f t="shared" si="11"/>
        <v>1.3714232003510662</v>
      </c>
      <c r="O31" s="4">
        <f>N31/MAX(N$14:N31)-1</f>
        <v>0</v>
      </c>
    </row>
    <row r="32" spans="1:15" x14ac:dyDescent="0.3">
      <c r="A32" s="2">
        <v>40480</v>
      </c>
      <c r="B32" t="s">
        <v>34</v>
      </c>
      <c r="D32" t="s">
        <v>280</v>
      </c>
      <c r="E32" s="4">
        <f t="shared" si="1"/>
        <v>-6.8516615279201609E-4</v>
      </c>
      <c r="F32" s="4">
        <f t="shared" si="2"/>
        <v>0</v>
      </c>
      <c r="G32" s="4">
        <f t="shared" si="3"/>
        <v>1.7093408354402762E-3</v>
      </c>
      <c r="H32" s="7">
        <f t="shared" si="8"/>
        <v>13.191599028410103</v>
      </c>
      <c r="I32" s="7">
        <f t="shared" si="9"/>
        <v>0</v>
      </c>
      <c r="J32" s="7">
        <f t="shared" si="10"/>
        <v>12.492652657086586</v>
      </c>
      <c r="K32" s="3">
        <f t="shared" si="5"/>
        <v>0.51360651616177311</v>
      </c>
      <c r="L32" s="3">
        <f t="shared" si="6"/>
        <v>0</v>
      </c>
      <c r="M32" s="3">
        <f t="shared" si="7"/>
        <v>0.48639348383822689</v>
      </c>
      <c r="N32">
        <f t="shared" si="11"/>
        <v>1.3720769680057474</v>
      </c>
      <c r="O32" s="4">
        <f>N32/MAX(N$14:N32)-1</f>
        <v>0</v>
      </c>
    </row>
    <row r="33" spans="1:15" x14ac:dyDescent="0.3">
      <c r="A33" s="2">
        <v>40512</v>
      </c>
      <c r="B33" t="s">
        <v>35</v>
      </c>
      <c r="D33" t="s">
        <v>281</v>
      </c>
      <c r="E33" s="4">
        <f t="shared" si="1"/>
        <v>3.256770654782315E-2</v>
      </c>
      <c r="F33" s="4">
        <f t="shared" si="2"/>
        <v>0</v>
      </c>
      <c r="G33" s="4">
        <f t="shared" si="3"/>
        <v>3.8987047768022087E-3</v>
      </c>
      <c r="H33" s="7">
        <f t="shared" si="8"/>
        <v>13.428969851600788</v>
      </c>
      <c r="I33" s="7">
        <f t="shared" si="9"/>
        <v>0</v>
      </c>
      <c r="J33" s="7">
        <f t="shared" si="10"/>
        <v>12.460919485480751</v>
      </c>
      <c r="K33" s="3">
        <f t="shared" si="5"/>
        <v>0.51869552923761475</v>
      </c>
      <c r="L33" s="3">
        <f t="shared" si="6"/>
        <v>0</v>
      </c>
      <c r="M33" s="3">
        <f t="shared" si="7"/>
        <v>0.48130447076238519</v>
      </c>
      <c r="N33">
        <f t="shared" si="11"/>
        <v>1.39762955651571</v>
      </c>
      <c r="O33" s="4">
        <f>N33/MAX(N$14:N33)-1</f>
        <v>0</v>
      </c>
    </row>
    <row r="34" spans="1:15" x14ac:dyDescent="0.3">
      <c r="A34" s="2">
        <v>40542</v>
      </c>
      <c r="B34" t="s">
        <v>36</v>
      </c>
      <c r="D34" t="s">
        <v>282</v>
      </c>
      <c r="E34" s="4">
        <f t="shared" si="1"/>
        <v>9.5238095238095344E-2</v>
      </c>
      <c r="F34" s="4">
        <f t="shared" si="2"/>
        <v>0</v>
      </c>
      <c r="G34" s="4">
        <f t="shared" si="3"/>
        <v>-1.6525803862316168E-3</v>
      </c>
      <c r="H34" s="7">
        <f t="shared" si="8"/>
        <v>14.449105621168602</v>
      </c>
      <c r="I34" s="7">
        <f t="shared" si="9"/>
        <v>0</v>
      </c>
      <c r="J34" s="7">
        <f t="shared" si="10"/>
        <v>12.37214207759018</v>
      </c>
      <c r="K34" s="3">
        <f t="shared" si="5"/>
        <v>0.5387186227670262</v>
      </c>
      <c r="L34" s="3">
        <f t="shared" si="6"/>
        <v>0</v>
      </c>
      <c r="M34" s="3">
        <f t="shared" si="7"/>
        <v>0.4612813772329738</v>
      </c>
      <c r="N34">
        <f t="shared" si="11"/>
        <v>1.4655601948930785</v>
      </c>
      <c r="O34" s="4">
        <f>N34/MAX(N$14:N34)-1</f>
        <v>0</v>
      </c>
    </row>
    <row r="35" spans="1:15" x14ac:dyDescent="0.3">
      <c r="A35" s="2">
        <v>40574</v>
      </c>
      <c r="B35" t="s">
        <v>37</v>
      </c>
      <c r="D35" t="s">
        <v>283</v>
      </c>
      <c r="E35" s="4">
        <f t="shared" si="1"/>
        <v>6.1493157803569343E-3</v>
      </c>
      <c r="F35" s="4">
        <f t="shared" si="2"/>
        <v>0</v>
      </c>
      <c r="G35" s="4">
        <f t="shared" si="3"/>
        <v>-9.458948164964065E-3</v>
      </c>
      <c r="H35" s="7">
        <f t="shared" si="8"/>
        <v>14.300117116013654</v>
      </c>
      <c r="I35" s="7">
        <f t="shared" si="9"/>
        <v>0</v>
      </c>
      <c r="J35" s="7">
        <f t="shared" si="10"/>
        <v>12.184299845395367</v>
      </c>
      <c r="K35" s="3">
        <f t="shared" si="5"/>
        <v>0.53994456955011105</v>
      </c>
      <c r="L35" s="3">
        <f t="shared" si="6"/>
        <v>0</v>
      </c>
      <c r="M35" s="3">
        <f t="shared" si="7"/>
        <v>0.46005543044988895</v>
      </c>
      <c r="N35">
        <f t="shared" si="11"/>
        <v>1.4640206448533142</v>
      </c>
      <c r="O35" s="4">
        <f>N35/MAX(N$14:N35)-1</f>
        <v>-1.0504857085564812E-3</v>
      </c>
    </row>
    <row r="36" spans="1:15" x14ac:dyDescent="0.3">
      <c r="A36" s="2">
        <v>40602</v>
      </c>
      <c r="B36" t="s">
        <v>38</v>
      </c>
      <c r="D36" t="s">
        <v>284</v>
      </c>
      <c r="E36" s="4">
        <f t="shared" si="1"/>
        <v>-5.8018421279159904E-2</v>
      </c>
      <c r="F36" s="4">
        <f t="shared" si="2"/>
        <v>0</v>
      </c>
      <c r="G36" s="4">
        <f t="shared" si="3"/>
        <v>8.9285714285713969E-3</v>
      </c>
      <c r="H36" s="7">
        <f t="shared" si="8"/>
        <v>13.175162377981527</v>
      </c>
      <c r="I36" s="7">
        <f t="shared" si="9"/>
        <v>0</v>
      </c>
      <c r="J36" s="7">
        <f t="shared" si="10"/>
        <v>12.239930684379747</v>
      </c>
      <c r="K36" s="3">
        <f t="shared" si="5"/>
        <v>0.5183991396629356</v>
      </c>
      <c r="L36" s="3">
        <f t="shared" si="6"/>
        <v>0</v>
      </c>
      <c r="M36" s="3">
        <f t="shared" si="7"/>
        <v>0.48160086033706445</v>
      </c>
      <c r="N36">
        <f t="shared" si="11"/>
        <v>1.4241713296959386</v>
      </c>
      <c r="O36" s="4">
        <f>N36/MAX(N$14:N36)-1</f>
        <v>-2.8240986171270466E-2</v>
      </c>
    </row>
    <row r="37" spans="1:15" x14ac:dyDescent="0.3">
      <c r="A37" s="2">
        <v>40633</v>
      </c>
      <c r="B37" t="s">
        <v>39</v>
      </c>
      <c r="D37" t="s">
        <v>285</v>
      </c>
      <c r="E37" s="4">
        <f t="shared" si="1"/>
        <v>8.4163392122818204E-2</v>
      </c>
      <c r="F37" s="4">
        <f t="shared" si="2"/>
        <v>0</v>
      </c>
      <c r="G37" s="4">
        <f t="shared" si="3"/>
        <v>5.7025223605129405E-3</v>
      </c>
      <c r="H37" s="7">
        <f t="shared" si="8"/>
        <v>14.015784034130284</v>
      </c>
      <c r="I37" s="7">
        <f t="shared" si="9"/>
        <v>0</v>
      </c>
      <c r="J37" s="7">
        <f t="shared" si="10"/>
        <v>12.256720979235684</v>
      </c>
      <c r="K37" s="3">
        <f t="shared" si="5"/>
        <v>0.53347726176091104</v>
      </c>
      <c r="L37" s="3">
        <f t="shared" si="6"/>
        <v>0</v>
      </c>
      <c r="M37" s="3">
        <f t="shared" si="7"/>
        <v>0.46652273823908896</v>
      </c>
      <c r="N37">
        <f t="shared" si="11"/>
        <v>1.490219510692848</v>
      </c>
      <c r="O37" s="4">
        <f>N37/MAX(N$14:N37)-1</f>
        <v>0</v>
      </c>
    </row>
    <row r="38" spans="1:15" x14ac:dyDescent="0.3">
      <c r="A38" s="2">
        <v>40662</v>
      </c>
      <c r="B38" t="s">
        <v>40</v>
      </c>
      <c r="D38" t="s">
        <v>286</v>
      </c>
      <c r="E38" s="4">
        <f t="shared" si="1"/>
        <v>3.9109912339851727E-2</v>
      </c>
      <c r="F38" s="4">
        <f t="shared" si="2"/>
        <v>0</v>
      </c>
      <c r="G38" s="4">
        <f t="shared" si="3"/>
        <v>2.5762887325599948E-3</v>
      </c>
      <c r="H38" s="7">
        <f t="shared" si="8"/>
        <v>14.282357975069164</v>
      </c>
      <c r="I38" s="7">
        <f t="shared" si="9"/>
        <v>0</v>
      </c>
      <c r="J38" s="7">
        <f t="shared" si="10"/>
        <v>12.239557275617688</v>
      </c>
      <c r="K38" s="3">
        <f t="shared" si="5"/>
        <v>0.53851156072521145</v>
      </c>
      <c r="L38" s="3">
        <f t="shared" si="6"/>
        <v>0</v>
      </c>
      <c r="M38" s="3">
        <f t="shared" si="7"/>
        <v>0.46148843927478855</v>
      </c>
      <c r="N38">
        <f t="shared" si="11"/>
        <v>1.5231029123108972</v>
      </c>
      <c r="O38" s="4">
        <f>N38/MAX(N$14:N38)-1</f>
        <v>0</v>
      </c>
    </row>
    <row r="39" spans="1:15" x14ac:dyDescent="0.3">
      <c r="A39" s="2">
        <v>40694</v>
      </c>
      <c r="B39" t="s">
        <v>41</v>
      </c>
      <c r="D39" t="s">
        <v>287</v>
      </c>
      <c r="E39" s="4">
        <f t="shared" si="1"/>
        <v>-2.1211875405580782E-2</v>
      </c>
      <c r="F39" s="4">
        <f t="shared" si="2"/>
        <v>0</v>
      </c>
      <c r="G39" s="4">
        <f t="shared" si="3"/>
        <v>7.7559401584041954E-3</v>
      </c>
      <c r="H39" s="7">
        <f t="shared" si="8"/>
        <v>13.702571355076348</v>
      </c>
      <c r="I39" s="7">
        <f t="shared" si="9"/>
        <v>0</v>
      </c>
      <c r="J39" s="7">
        <f t="shared" si="10"/>
        <v>12.293458129873494</v>
      </c>
      <c r="K39" s="3">
        <f t="shared" si="5"/>
        <v>0.52710247012949885</v>
      </c>
      <c r="L39" s="3">
        <f t="shared" si="6"/>
        <v>0</v>
      </c>
      <c r="M39" s="3">
        <f t="shared" si="7"/>
        <v>0.47289752987050104</v>
      </c>
      <c r="N39">
        <f t="shared" si="11"/>
        <v>1.5111563580355543</v>
      </c>
      <c r="O39" s="4">
        <f>N39/MAX(N$14:N39)-1</f>
        <v>-7.8435634117574038E-3</v>
      </c>
    </row>
    <row r="40" spans="1:15" x14ac:dyDescent="0.3">
      <c r="A40" s="2">
        <v>40724</v>
      </c>
      <c r="B40" t="s">
        <v>42</v>
      </c>
      <c r="D40" t="s">
        <v>288</v>
      </c>
      <c r="E40" s="4">
        <f t="shared" si="1"/>
        <v>-2.7016947747897091E-2</v>
      </c>
      <c r="F40" s="4">
        <f t="shared" si="2"/>
        <v>0</v>
      </c>
      <c r="G40" s="4">
        <f t="shared" si="3"/>
        <v>-2.3170248934634152E-3</v>
      </c>
      <c r="H40" s="7">
        <f t="shared" si="8"/>
        <v>13.137201914749767</v>
      </c>
      <c r="I40" s="7">
        <f t="shared" si="9"/>
        <v>0</v>
      </c>
      <c r="J40" s="7">
        <f t="shared" si="10"/>
        <v>12.218190200363779</v>
      </c>
      <c r="K40" s="3">
        <f t="shared" si="5"/>
        <v>0.51812260899404894</v>
      </c>
      <c r="L40" s="3">
        <f t="shared" si="6"/>
        <v>0</v>
      </c>
      <c r="M40" s="3">
        <f t="shared" si="7"/>
        <v>0.48187739100595106</v>
      </c>
      <c r="N40">
        <f t="shared" si="11"/>
        <v>1.487980636633067</v>
      </c>
      <c r="O40" s="4">
        <f>N40/MAX(N$14:N40)-1</f>
        <v>-2.3059686508340782E-2</v>
      </c>
    </row>
    <row r="41" spans="1:15" x14ac:dyDescent="0.3">
      <c r="A41" s="2">
        <v>40753</v>
      </c>
      <c r="B41" t="s">
        <v>43</v>
      </c>
      <c r="D41" t="s">
        <v>289</v>
      </c>
      <c r="E41" s="4">
        <f t="shared" si="1"/>
        <v>5.6641539968484977E-3</v>
      </c>
      <c r="F41" s="4">
        <f t="shared" si="2"/>
        <v>0</v>
      </c>
      <c r="G41" s="4">
        <f t="shared" si="3"/>
        <v>2.5674839824010309E-3</v>
      </c>
      <c r="H41" s="7">
        <f t="shared" si="8"/>
        <v>12.945793249139587</v>
      </c>
      <c r="I41" s="7">
        <f t="shared" si="9"/>
        <v>0</v>
      </c>
      <c r="J41" s="7">
        <f t="shared" si="10"/>
        <v>12.203727013442547</v>
      </c>
      <c r="K41" s="3">
        <f t="shared" si="5"/>
        <v>0.51475308928260344</v>
      </c>
      <c r="L41" s="3">
        <f t="shared" si="6"/>
        <v>0</v>
      </c>
      <c r="M41" s="3">
        <f t="shared" si="7"/>
        <v>0.48524691071739645</v>
      </c>
      <c r="N41">
        <f t="shared" si="11"/>
        <v>1.4941884006797532</v>
      </c>
      <c r="O41" s="4">
        <f>N41/MAX(N$14:N41)-1</f>
        <v>-1.8983951378094388E-2</v>
      </c>
    </row>
    <row r="42" spans="1:15" x14ac:dyDescent="0.3">
      <c r="A42" s="2">
        <v>40786</v>
      </c>
      <c r="B42" t="s">
        <v>44</v>
      </c>
      <c r="D42" t="s">
        <v>290</v>
      </c>
      <c r="E42" s="4">
        <f t="shared" si="1"/>
        <v>-0.12602693317523506</v>
      </c>
      <c r="F42" s="4">
        <f t="shared" si="2"/>
        <v>0</v>
      </c>
      <c r="G42" s="4">
        <f t="shared" si="3"/>
        <v>1.304899484326083E-2</v>
      </c>
      <c r="H42" s="7">
        <f t="shared" si="8"/>
        <v>11.121574137264139</v>
      </c>
      <c r="I42" s="7">
        <f t="shared" si="9"/>
        <v>0</v>
      </c>
      <c r="J42" s="7">
        <f t="shared" si="10"/>
        <v>12.319882965060893</v>
      </c>
      <c r="K42" s="3">
        <f t="shared" si="5"/>
        <v>0.47444039373137131</v>
      </c>
      <c r="L42" s="3">
        <f t="shared" si="6"/>
        <v>0</v>
      </c>
      <c r="M42" s="3">
        <f t="shared" si="7"/>
        <v>0.52555960626862863</v>
      </c>
      <c r="N42">
        <f t="shared" si="11"/>
        <v>1.4067174630479649</v>
      </c>
      <c r="O42" s="4">
        <f>N42/MAX(N$14:N42)-1</f>
        <v>-7.641338501963002E-2</v>
      </c>
    </row>
    <row r="43" spans="1:15" x14ac:dyDescent="0.3">
      <c r="A43" s="2">
        <v>40816</v>
      </c>
      <c r="B43" t="s">
        <v>45</v>
      </c>
      <c r="D43" t="s">
        <v>291</v>
      </c>
      <c r="E43" s="4">
        <f t="shared" si="1"/>
        <v>-4.9181122201763738E-2</v>
      </c>
      <c r="F43" s="4">
        <f t="shared" si="2"/>
        <v>0</v>
      </c>
      <c r="G43" s="4">
        <f t="shared" si="3"/>
        <v>1.7580548788895811E-3</v>
      </c>
      <c r="H43" s="7">
        <f t="shared" si="8"/>
        <v>10.496530998207385</v>
      </c>
      <c r="I43" s="7">
        <f t="shared" si="9"/>
        <v>0</v>
      </c>
      <c r="J43" s="7">
        <f t="shared" si="10"/>
        <v>12.297600706397297</v>
      </c>
      <c r="K43" s="3">
        <f t="shared" si="5"/>
        <v>0.46049268883038713</v>
      </c>
      <c r="L43" s="3">
        <f t="shared" si="6"/>
        <v>0</v>
      </c>
      <c r="M43" s="3">
        <f t="shared" si="7"/>
        <v>0.53950731116961292</v>
      </c>
      <c r="N43">
        <f t="shared" si="11"/>
        <v>1.3751935600427407</v>
      </c>
      <c r="O43" s="4">
        <f>N43/MAX(N$14:N43)-1</f>
        <v>-9.7110543924930237E-2</v>
      </c>
    </row>
    <row r="44" spans="1:15" x14ac:dyDescent="0.3">
      <c r="A44" s="2">
        <v>40847</v>
      </c>
      <c r="B44" t="s">
        <v>46</v>
      </c>
      <c r="C44" t="s">
        <v>155</v>
      </c>
      <c r="D44" t="s">
        <v>292</v>
      </c>
      <c r="E44" s="4">
        <f t="shared" si="1"/>
        <v>8.5715741731641426E-2</v>
      </c>
      <c r="F44" s="4">
        <f t="shared" si="2"/>
        <v>0</v>
      </c>
      <c r="G44" s="4">
        <f t="shared" si="3"/>
        <v>2.6955414597216176E-3</v>
      </c>
      <c r="H44" s="7">
        <f t="shared" si="8"/>
        <v>11.43928861682849</v>
      </c>
      <c r="I44" s="7">
        <f t="shared" si="9"/>
        <v>0</v>
      </c>
      <c r="J44" s="7">
        <f t="shared" si="10"/>
        <v>12.295780089924186</v>
      </c>
      <c r="K44" s="3">
        <f t="shared" si="5"/>
        <v>0.48195725734613054</v>
      </c>
      <c r="L44" s="3">
        <f t="shared" si="6"/>
        <v>0</v>
      </c>
      <c r="M44" s="3">
        <f t="shared" si="7"/>
        <v>0.5180427426538694</v>
      </c>
      <c r="N44">
        <f t="shared" si="11"/>
        <v>1.4314743696065784</v>
      </c>
      <c r="O44" s="4">
        <f>N44/MAX(N$14:N44)-1</f>
        <v>-6.0159127767208664E-2</v>
      </c>
    </row>
    <row r="45" spans="1:15" x14ac:dyDescent="0.3">
      <c r="A45" s="2">
        <v>40877</v>
      </c>
      <c r="B45" t="s">
        <v>47</v>
      </c>
      <c r="C45" t="s">
        <v>156</v>
      </c>
      <c r="D45" t="s">
        <v>293</v>
      </c>
      <c r="E45" s="4">
        <f t="shared" si="1"/>
        <v>-3.1541891574747738E-2</v>
      </c>
      <c r="F45" s="4">
        <f t="shared" si="2"/>
        <v>1.0264170420420493E-2</v>
      </c>
      <c r="G45" s="4">
        <f t="shared" si="3"/>
        <v>7.4357097098929348E-3</v>
      </c>
      <c r="H45" s="7">
        <f t="shared" si="8"/>
        <v>11.036449489120418</v>
      </c>
      <c r="I45" s="7">
        <f t="shared" si="9"/>
        <v>0</v>
      </c>
      <c r="J45" s="7">
        <f t="shared" si="10"/>
        <v>12.351046888504925</v>
      </c>
      <c r="K45" s="3">
        <f t="shared" si="5"/>
        <v>0.47189529443087003</v>
      </c>
      <c r="L45" s="3">
        <f t="shared" si="6"/>
        <v>0</v>
      </c>
      <c r="M45" s="3">
        <f t="shared" si="7"/>
        <v>0.52810470556912992</v>
      </c>
      <c r="N45">
        <f t="shared" si="11"/>
        <v>1.4152273815774308</v>
      </c>
      <c r="O45" s="4">
        <f>N45/MAX(N$14:N45)-1</f>
        <v>-7.0826160111396863E-2</v>
      </c>
    </row>
    <row r="46" spans="1:15" x14ac:dyDescent="0.3">
      <c r="A46" s="2">
        <v>40906</v>
      </c>
      <c r="B46" t="s">
        <v>48</v>
      </c>
      <c r="C46" t="s">
        <v>157</v>
      </c>
      <c r="D46" t="s">
        <v>294</v>
      </c>
      <c r="E46" s="4">
        <f t="shared" si="1"/>
        <v>-3.1018271700673505E-3</v>
      </c>
      <c r="F46" s="4">
        <f t="shared" si="2"/>
        <v>4.4935731453850103E-3</v>
      </c>
      <c r="G46" s="4">
        <f t="shared" si="3"/>
        <v>4.280880248904273E-3</v>
      </c>
      <c r="H46" s="7">
        <f t="shared" si="8"/>
        <v>11.023540608167318</v>
      </c>
      <c r="I46" s="7">
        <f t="shared" si="9"/>
        <v>0</v>
      </c>
      <c r="J46" s="7">
        <f t="shared" si="10"/>
        <v>12.364207070721513</v>
      </c>
      <c r="K46" s="3">
        <f t="shared" si="5"/>
        <v>0.47133827333522249</v>
      </c>
      <c r="L46" s="3">
        <f t="shared" si="6"/>
        <v>0</v>
      </c>
      <c r="M46" s="3">
        <f t="shared" si="7"/>
        <v>0.52866172666477762</v>
      </c>
      <c r="N46">
        <f t="shared" si="11"/>
        <v>1.4163553395352304</v>
      </c>
      <c r="O46" s="4">
        <f>N46/MAX(N$14:N46)-1</f>
        <v>-7.0085594291003139E-2</v>
      </c>
    </row>
    <row r="47" spans="1:15" x14ac:dyDescent="0.3">
      <c r="A47" s="2">
        <v>40939</v>
      </c>
      <c r="B47" t="s">
        <v>49</v>
      </c>
      <c r="C47" t="s">
        <v>158</v>
      </c>
      <c r="D47" t="s">
        <v>295</v>
      </c>
      <c r="E47" s="4">
        <f t="shared" si="1"/>
        <v>7.5501968982449208E-2</v>
      </c>
      <c r="F47" s="4">
        <f t="shared" si="2"/>
        <v>3.907062767310121E-3</v>
      </c>
      <c r="G47" s="4">
        <f t="shared" si="3"/>
        <v>1.2098187533213789E-3</v>
      </c>
      <c r="H47" s="7">
        <f t="shared" si="8"/>
        <v>11.973347487709923</v>
      </c>
      <c r="I47" s="7">
        <f t="shared" si="9"/>
        <v>0</v>
      </c>
      <c r="J47" s="7">
        <f t="shared" si="10"/>
        <v>12.333388014049479</v>
      </c>
      <c r="K47" s="3">
        <f t="shared" si="5"/>
        <v>0.49259381157306181</v>
      </c>
      <c r="L47" s="3">
        <f t="shared" si="6"/>
        <v>0</v>
      </c>
      <c r="M47" s="3">
        <f t="shared" si="7"/>
        <v>0.50740618842693819</v>
      </c>
      <c r="N47">
        <f t="shared" si="11"/>
        <v>1.4676650106931679</v>
      </c>
      <c r="O47" s="4">
        <f>N47/MAX(N$14:N47)-1</f>
        <v>-3.6398001191933482E-2</v>
      </c>
    </row>
    <row r="48" spans="1:15" x14ac:dyDescent="0.3">
      <c r="A48" s="2">
        <v>40968</v>
      </c>
      <c r="B48" t="s">
        <v>50</v>
      </c>
      <c r="C48" t="s">
        <v>159</v>
      </c>
      <c r="D48" t="s">
        <v>296</v>
      </c>
      <c r="E48" s="4">
        <f t="shared" si="1"/>
        <v>3.846849290299259E-2</v>
      </c>
      <c r="F48" s="4">
        <f t="shared" si="2"/>
        <v>-3.3391672807658868E-4</v>
      </c>
      <c r="G48" s="4">
        <f t="shared" si="3"/>
        <v>1.3438735177866423E-3</v>
      </c>
      <c r="H48" s="7">
        <f t="shared" si="8"/>
        <v>12.483646150526706</v>
      </c>
      <c r="I48" s="7">
        <f t="shared" si="9"/>
        <v>0</v>
      </c>
      <c r="J48" s="7">
        <f t="shared" si="10"/>
        <v>12.29290065244083</v>
      </c>
      <c r="K48" s="3">
        <f t="shared" si="5"/>
        <v>0.50384931563713775</v>
      </c>
      <c r="L48" s="3">
        <f t="shared" si="6"/>
        <v>0</v>
      </c>
      <c r="M48" s="3">
        <f t="shared" si="7"/>
        <v>0.49615068436286219</v>
      </c>
      <c r="N48">
        <f t="shared" si="11"/>
        <v>1.4964770819654383</v>
      </c>
      <c r="O48" s="4">
        <f>N48/MAX(N$14:N48)-1</f>
        <v>-1.748130748766108E-2</v>
      </c>
    </row>
    <row r="49" spans="1:15" x14ac:dyDescent="0.3">
      <c r="A49" s="2">
        <v>40998</v>
      </c>
      <c r="B49" t="s">
        <v>51</v>
      </c>
      <c r="C49" t="s">
        <v>160</v>
      </c>
      <c r="D49" t="s">
        <v>297</v>
      </c>
      <c r="E49" s="4">
        <f t="shared" si="1"/>
        <v>2.95999651765122E-3</v>
      </c>
      <c r="F49" s="4">
        <f t="shared" si="2"/>
        <v>-5.7015169490549633E-3</v>
      </c>
      <c r="G49" s="4">
        <f t="shared" si="3"/>
        <v>-3.9472645456695155E-4</v>
      </c>
      <c r="H49" s="7">
        <f t="shared" si="8"/>
        <v>12.47078423369007</v>
      </c>
      <c r="I49" s="7">
        <f t="shared" si="9"/>
        <v>0</v>
      </c>
      <c r="J49" s="7">
        <f t="shared" si="10"/>
        <v>12.239028350360718</v>
      </c>
      <c r="K49" s="3">
        <f t="shared" si="5"/>
        <v>0.5046895516212645</v>
      </c>
      <c r="L49" s="3">
        <f t="shared" si="6"/>
        <v>0</v>
      </c>
      <c r="M49" s="3">
        <f t="shared" si="7"/>
        <v>0.49531044837873556</v>
      </c>
      <c r="N49">
        <f t="shared" si="11"/>
        <v>1.4984158404832537</v>
      </c>
      <c r="O49" s="4">
        <f>N49/MAX(N$14:N49)-1</f>
        <v>-1.6208406948803988E-2</v>
      </c>
    </row>
    <row r="50" spans="1:15" x14ac:dyDescent="0.3">
      <c r="A50" s="2">
        <v>41029</v>
      </c>
      <c r="B50" t="s">
        <v>52</v>
      </c>
      <c r="C50" t="s">
        <v>161</v>
      </c>
      <c r="D50" t="s">
        <v>298</v>
      </c>
      <c r="E50" s="4">
        <f t="shared" si="1"/>
        <v>-1.0155809209669742E-2</v>
      </c>
      <c r="F50" s="4">
        <f t="shared" si="2"/>
        <v>1.0912376627589149E-2</v>
      </c>
      <c r="G50" s="4">
        <f t="shared" si="3"/>
        <v>6.0247760453098209E-3</v>
      </c>
      <c r="H50" s="7">
        <f t="shared" si="8"/>
        <v>12.372792421333305</v>
      </c>
      <c r="I50" s="7">
        <f t="shared" si="9"/>
        <v>0</v>
      </c>
      <c r="J50" s="7">
        <f t="shared" si="10"/>
        <v>12.269829281435017</v>
      </c>
      <c r="K50" s="3">
        <f t="shared" si="5"/>
        <v>0.50208912714605203</v>
      </c>
      <c r="L50" s="3">
        <f t="shared" si="6"/>
        <v>0</v>
      </c>
      <c r="M50" s="3">
        <f t="shared" si="7"/>
        <v>0.49791087285394797</v>
      </c>
      <c r="N50">
        <f t="shared" si="11"/>
        <v>1.4952071383885439</v>
      </c>
      <c r="O50" s="4">
        <f>N50/MAX(N$14:N50)-1</f>
        <v>-1.8315094598584269E-2</v>
      </c>
    </row>
    <row r="51" spans="1:15" x14ac:dyDescent="0.3">
      <c r="A51" s="2">
        <v>41060</v>
      </c>
      <c r="B51" t="s">
        <v>53</v>
      </c>
      <c r="C51" t="s">
        <v>162</v>
      </c>
      <c r="D51" t="s">
        <v>299</v>
      </c>
      <c r="E51" s="4">
        <f t="shared" si="1"/>
        <v>-7.7826982943833056E-2</v>
      </c>
      <c r="F51" s="4">
        <f t="shared" si="2"/>
        <v>1.2295739463250355E-2</v>
      </c>
      <c r="G51" s="4">
        <f t="shared" si="3"/>
        <v>6.5157904180872528E-3</v>
      </c>
      <c r="H51" s="7">
        <f t="shared" si="8"/>
        <v>11.479010812556577</v>
      </c>
      <c r="I51" s="7">
        <f t="shared" si="9"/>
        <v>0</v>
      </c>
      <c r="J51" s="7">
        <f t="shared" si="10"/>
        <v>12.303209692369562</v>
      </c>
      <c r="K51" s="3">
        <f t="shared" si="5"/>
        <v>0.48267195277997144</v>
      </c>
      <c r="L51" s="3">
        <f t="shared" si="6"/>
        <v>0</v>
      </c>
      <c r="M51" s="3">
        <f t="shared" si="7"/>
        <v>0.51732804722002868</v>
      </c>
      <c r="N51">
        <f t="shared" si="11"/>
        <v>1.4416311766822185</v>
      </c>
      <c r="O51" s="4">
        <f>N51/MAX(N$14:N51)-1</f>
        <v>-5.3490630849800769E-2</v>
      </c>
    </row>
    <row r="52" spans="1:15" x14ac:dyDescent="0.3">
      <c r="A52" s="2">
        <v>41089</v>
      </c>
      <c r="B52" t="s">
        <v>54</v>
      </c>
      <c r="C52" t="s">
        <v>163</v>
      </c>
      <c r="D52" t="s">
        <v>300</v>
      </c>
      <c r="E52" s="4">
        <f t="shared" si="1"/>
        <v>5.7531380753137462E-3</v>
      </c>
      <c r="F52" s="4">
        <f t="shared" si="2"/>
        <v>6.4750563171418474E-3</v>
      </c>
      <c r="G52" s="4">
        <f t="shared" si="3"/>
        <v>3.3315134430467186E-3</v>
      </c>
      <c r="H52" s="7">
        <f t="shared" si="8"/>
        <v>11.674286653345554</v>
      </c>
      <c r="I52" s="7">
        <f t="shared" si="9"/>
        <v>0</v>
      </c>
      <c r="J52" s="7">
        <f t="shared" si="10"/>
        <v>12.299069928332575</v>
      </c>
      <c r="K52" s="3">
        <f t="shared" si="5"/>
        <v>0.48696921574460461</v>
      </c>
      <c r="L52" s="3">
        <f t="shared" si="6"/>
        <v>0</v>
      </c>
      <c r="M52" s="3">
        <f t="shared" si="7"/>
        <v>0.51303078425539539</v>
      </c>
      <c r="N52">
        <f t="shared" si="11"/>
        <v>1.448119041346414</v>
      </c>
      <c r="O52" s="4">
        <f>N52/MAX(N$14:N52)-1</f>
        <v>-4.9230994411740392E-2</v>
      </c>
    </row>
    <row r="53" spans="1:15" x14ac:dyDescent="0.3">
      <c r="A53" s="2">
        <v>41121</v>
      </c>
      <c r="B53" t="s">
        <v>55</v>
      </c>
      <c r="C53" t="s">
        <v>164</v>
      </c>
      <c r="D53" t="s">
        <v>301</v>
      </c>
      <c r="E53" s="4">
        <f t="shared" si="1"/>
        <v>2.0848106651538689E-2</v>
      </c>
      <c r="F53" s="4">
        <f t="shared" si="2"/>
        <v>3.3741606775314681E-2</v>
      </c>
      <c r="G53" s="4">
        <f t="shared" si="3"/>
        <v>1.5158582089552342E-2</v>
      </c>
      <c r="H53" s="7">
        <f t="shared" si="8"/>
        <v>12.018884379783467</v>
      </c>
      <c r="I53" s="7">
        <f t="shared" si="9"/>
        <v>0</v>
      </c>
      <c r="J53" s="7">
        <f t="shared" si="10"/>
        <v>12.433840365723043</v>
      </c>
      <c r="K53" s="3">
        <f t="shared" si="5"/>
        <v>0.49151513808260106</v>
      </c>
      <c r="L53" s="3">
        <f t="shared" si="6"/>
        <v>0</v>
      </c>
      <c r="M53" s="3">
        <f t="shared" si="7"/>
        <v>0.50848486191739906</v>
      </c>
      <c r="N53">
        <f t="shared" si="11"/>
        <v>1.4740826650873791</v>
      </c>
      <c r="O53" s="4">
        <f>N53/MAX(N$14:N53)-1</f>
        <v>-3.2184461619302662E-2</v>
      </c>
    </row>
    <row r="54" spans="1:15" x14ac:dyDescent="0.3">
      <c r="A54" s="2">
        <v>41152</v>
      </c>
      <c r="B54" t="s">
        <v>56</v>
      </c>
      <c r="C54" t="s">
        <v>165</v>
      </c>
      <c r="D54" t="s">
        <v>302</v>
      </c>
      <c r="E54" s="4">
        <f t="shared" si="1"/>
        <v>9.261831990368119E-4</v>
      </c>
      <c r="F54" s="4">
        <f t="shared" si="2"/>
        <v>1.0053203642654385E-2</v>
      </c>
      <c r="G54" s="4">
        <f t="shared" si="3"/>
        <v>4.8133197685231721E-3</v>
      </c>
      <c r="H54" s="7">
        <f t="shared" si="8"/>
        <v>12.115637771373235</v>
      </c>
      <c r="I54" s="7">
        <f t="shared" si="9"/>
        <v>0</v>
      </c>
      <c r="J54" s="7">
        <f t="shared" si="10"/>
        <v>12.429287352126995</v>
      </c>
      <c r="K54" s="3">
        <f t="shared" si="5"/>
        <v>0.49361070406253843</v>
      </c>
      <c r="L54" s="3">
        <f t="shared" si="6"/>
        <v>0</v>
      </c>
      <c r="M54" s="3">
        <f t="shared" si="7"/>
        <v>0.50638929593746163</v>
      </c>
      <c r="N54">
        <f t="shared" si="11"/>
        <v>1.4783615339274989</v>
      </c>
      <c r="O54" s="4">
        <f>N54/MAX(N$14:N54)-1</f>
        <v>-2.9375151226987861E-2</v>
      </c>
    </row>
    <row r="55" spans="1:15" x14ac:dyDescent="0.3">
      <c r="A55" s="2">
        <v>41180</v>
      </c>
      <c r="B55" t="s">
        <v>57</v>
      </c>
      <c r="C55" t="s">
        <v>166</v>
      </c>
      <c r="D55" t="s">
        <v>303</v>
      </c>
      <c r="E55" s="4">
        <f t="shared" si="1"/>
        <v>4.8163227537707076E-2</v>
      </c>
      <c r="F55" s="4">
        <f t="shared" si="2"/>
        <v>3.9424785910486815E-3</v>
      </c>
      <c r="G55" s="4">
        <f t="shared" si="3"/>
        <v>2.1011834126267726E-3</v>
      </c>
      <c r="H55" s="7">
        <f t="shared" si="8"/>
        <v>12.649596879253147</v>
      </c>
      <c r="I55" s="7">
        <f t="shared" si="9"/>
        <v>0</v>
      </c>
      <c r="J55" s="7">
        <f t="shared" si="10"/>
        <v>12.399845144149008</v>
      </c>
      <c r="K55" s="3">
        <f t="shared" si="5"/>
        <v>0.50498517561530532</v>
      </c>
      <c r="L55" s="3">
        <f t="shared" si="6"/>
        <v>0</v>
      </c>
      <c r="M55" s="3">
        <f t="shared" si="7"/>
        <v>0.49501482438469463</v>
      </c>
      <c r="N55">
        <f t="shared" si="11"/>
        <v>1.515080932005447</v>
      </c>
      <c r="O55" s="4">
        <f>N55/MAX(N$14:N55)-1</f>
        <v>-5.2668668942921215E-3</v>
      </c>
    </row>
    <row r="56" spans="1:15" x14ac:dyDescent="0.3">
      <c r="A56" s="2">
        <v>41213</v>
      </c>
      <c r="B56" t="s">
        <v>58</v>
      </c>
      <c r="C56" t="s">
        <v>167</v>
      </c>
      <c r="D56" t="s">
        <v>304</v>
      </c>
      <c r="E56" s="4">
        <f t="shared" si="1"/>
        <v>-4.4361068196866027E-2</v>
      </c>
      <c r="F56" s="4">
        <f t="shared" si="2"/>
        <v>4.4420124247595005E-3</v>
      </c>
      <c r="G56" s="4">
        <f t="shared" si="3"/>
        <v>2.7051691545532108E-3</v>
      </c>
      <c r="H56" s="7">
        <f t="shared" si="8"/>
        <v>11.940789029930823</v>
      </c>
      <c r="I56" s="7">
        <f t="shared" si="9"/>
        <v>12.724695996962668</v>
      </c>
      <c r="J56" s="7">
        <f t="shared" si="10"/>
        <v>12.377434421589529</v>
      </c>
      <c r="K56" s="3">
        <f t="shared" si="5"/>
        <v>0.32235010651731505</v>
      </c>
      <c r="L56" s="3">
        <f t="shared" si="6"/>
        <v>0.34351223355004135</v>
      </c>
      <c r="M56" s="3">
        <f t="shared" si="7"/>
        <v>0.3341376599326436</v>
      </c>
      <c r="N56">
        <f t="shared" si="11"/>
        <v>1.4831694141538105</v>
      </c>
      <c r="O56" s="4">
        <f>N56/MAX(N$14:N56)-1</f>
        <v>-2.621851605319192E-2</v>
      </c>
    </row>
    <row r="57" spans="1:15" x14ac:dyDescent="0.3">
      <c r="A57" s="2">
        <v>41243</v>
      </c>
      <c r="B57" t="s">
        <v>59</v>
      </c>
      <c r="C57" t="s">
        <v>168</v>
      </c>
      <c r="D57" t="s">
        <v>305</v>
      </c>
      <c r="E57" s="4">
        <f t="shared" si="1"/>
        <v>1.7921478060046292E-2</v>
      </c>
      <c r="F57" s="4">
        <f t="shared" si="2"/>
        <v>-1.1643433210489773E-3</v>
      </c>
      <c r="G57" s="4">
        <f t="shared" si="3"/>
        <v>5.2007150983257588E-4</v>
      </c>
      <c r="H57" s="7">
        <f t="shared" si="8"/>
        <v>12.13830202737784</v>
      </c>
      <c r="I57" s="7">
        <f t="shared" si="9"/>
        <v>12.611845431037366</v>
      </c>
      <c r="J57" s="7">
        <f t="shared" si="10"/>
        <v>12.328028964505865</v>
      </c>
      <c r="K57" s="3">
        <f t="shared" si="5"/>
        <v>0.3273705235372405</v>
      </c>
      <c r="L57" s="3">
        <f t="shared" si="6"/>
        <v>0.34014200933681693</v>
      </c>
      <c r="M57" s="3">
        <f t="shared" si="7"/>
        <v>0.33248746712594246</v>
      </c>
      <c r="N57">
        <f t="shared" si="11"/>
        <v>1.4914021904396459</v>
      </c>
      <c r="O57" s="4">
        <f>N57/MAX(N$14:N57)-1</f>
        <v>-2.0813250119227966E-2</v>
      </c>
    </row>
    <row r="58" spans="1:15" x14ac:dyDescent="0.3">
      <c r="A58" s="2">
        <v>41271</v>
      </c>
      <c r="B58" t="s">
        <v>60</v>
      </c>
      <c r="C58" t="s">
        <v>169</v>
      </c>
      <c r="D58" t="s">
        <v>306</v>
      </c>
      <c r="E58" s="4">
        <f t="shared" si="1"/>
        <v>4.2925855340774977E-2</v>
      </c>
      <c r="F58" s="4">
        <f t="shared" si="2"/>
        <v>-6.1386435095074354E-3</v>
      </c>
      <c r="G58" s="4">
        <f t="shared" si="3"/>
        <v>2.1874966158776932E-3</v>
      </c>
      <c r="H58" s="7">
        <f t="shared" si="8"/>
        <v>12.588331197178029</v>
      </c>
      <c r="I58" s="7">
        <f t="shared" si="9"/>
        <v>12.449225821931192</v>
      </c>
      <c r="J58" s="7">
        <f t="shared" si="10"/>
        <v>12.306324400176255</v>
      </c>
      <c r="K58" s="3">
        <f t="shared" si="5"/>
        <v>0.33709220141956225</v>
      </c>
      <c r="L58" s="3">
        <f t="shared" si="6"/>
        <v>0.33336721703229394</v>
      </c>
      <c r="M58" s="3">
        <f t="shared" si="7"/>
        <v>0.3295405815481437</v>
      </c>
      <c r="N58">
        <f t="shared" si="11"/>
        <v>1.5103310139578643</v>
      </c>
      <c r="O58" s="4">
        <f>N58/MAX(N$14:N58)-1</f>
        <v>-8.3854467415173106E-3</v>
      </c>
    </row>
    <row r="59" spans="1:15" x14ac:dyDescent="0.3">
      <c r="A59" s="2">
        <v>41305</v>
      </c>
      <c r="B59" t="s">
        <v>61</v>
      </c>
      <c r="C59" t="s">
        <v>170</v>
      </c>
      <c r="D59" t="s">
        <v>307</v>
      </c>
      <c r="E59" s="4">
        <f t="shared" si="1"/>
        <v>-2.0666550643926196E-2</v>
      </c>
      <c r="F59" s="4">
        <f t="shared" si="2"/>
        <v>7.4570653811389942E-3</v>
      </c>
      <c r="G59" s="4">
        <f t="shared" si="3"/>
        <v>3.7387217029554165E-3</v>
      </c>
      <c r="H59" s="7">
        <f t="shared" si="8"/>
        <v>12.213190572160297</v>
      </c>
      <c r="I59" s="7">
        <f t="shared" si="9"/>
        <v>12.467272751023426</v>
      </c>
      <c r="J59" s="7">
        <f t="shared" si="10"/>
        <v>12.305780765355017</v>
      </c>
      <c r="K59" s="3">
        <f t="shared" si="5"/>
        <v>0.33020899724027147</v>
      </c>
      <c r="L59" s="3">
        <f t="shared" si="6"/>
        <v>0.3370786371597751</v>
      </c>
      <c r="M59" s="3">
        <f t="shared" si="7"/>
        <v>0.33271236559995343</v>
      </c>
      <c r="N59">
        <f t="shared" si="11"/>
        <v>1.5054246562425828</v>
      </c>
      <c r="O59" s="4">
        <f>N59/MAX(N$14:N59)-1</f>
        <v>-1.1606737749251916E-2</v>
      </c>
    </row>
    <row r="60" spans="1:15" x14ac:dyDescent="0.3">
      <c r="A60" s="2">
        <v>41333</v>
      </c>
      <c r="B60" t="s">
        <v>62</v>
      </c>
      <c r="C60" t="s">
        <v>171</v>
      </c>
      <c r="D60" t="s">
        <v>308</v>
      </c>
      <c r="E60" s="4">
        <f t="shared" si="1"/>
        <v>4.0872539872939706E-2</v>
      </c>
      <c r="F60" s="4">
        <f t="shared" si="2"/>
        <v>1.2133511348464632E-2</v>
      </c>
      <c r="G60" s="4">
        <f t="shared" si="3"/>
        <v>6.2115813157357369E-3</v>
      </c>
      <c r="H60" s="7">
        <f t="shared" si="8"/>
        <v>12.69416577329692</v>
      </c>
      <c r="I60" s="7">
        <f t="shared" si="9"/>
        <v>12.539564848495651</v>
      </c>
      <c r="J60" s="7">
        <f t="shared" si="10"/>
        <v>12.332891461183038</v>
      </c>
      <c r="K60" s="3">
        <f t="shared" si="5"/>
        <v>0.33791075879163601</v>
      </c>
      <c r="L60" s="3">
        <f t="shared" si="6"/>
        <v>0.33379537880192622</v>
      </c>
      <c r="M60" s="3">
        <f t="shared" si="7"/>
        <v>0.32829386240643765</v>
      </c>
      <c r="N60">
        <f t="shared" si="11"/>
        <v>1.5350109142258173</v>
      </c>
      <c r="O60" s="4">
        <f>N60/MAX(N$14:N60)-1</f>
        <v>0</v>
      </c>
    </row>
    <row r="61" spans="1:15" x14ac:dyDescent="0.3">
      <c r="A61" s="2">
        <v>41362</v>
      </c>
      <c r="B61" t="s">
        <v>63</v>
      </c>
      <c r="C61" t="s">
        <v>172</v>
      </c>
      <c r="D61" t="s">
        <v>309</v>
      </c>
      <c r="E61" s="4">
        <f t="shared" si="1"/>
        <v>-1.6432626232447012E-2</v>
      </c>
      <c r="F61" s="4">
        <f t="shared" si="2"/>
        <v>1.1850866917824776E-2</v>
      </c>
      <c r="G61" s="4">
        <f t="shared" si="3"/>
        <v>6.4086104335172589E-3</v>
      </c>
      <c r="H61" s="7">
        <f t="shared" si="8"/>
        <v>12.466044080979851</v>
      </c>
      <c r="I61" s="7">
        <f t="shared" si="9"/>
        <v>12.595607801068343</v>
      </c>
      <c r="J61" s="7">
        <f t="shared" si="10"/>
        <v>12.3574586713172</v>
      </c>
      <c r="K61" s="3">
        <f t="shared" si="5"/>
        <v>0.33314645635954804</v>
      </c>
      <c r="L61" s="3">
        <f t="shared" si="6"/>
        <v>0.3366089576903511</v>
      </c>
      <c r="M61" s="3">
        <f t="shared" si="7"/>
        <v>0.3302445859501007</v>
      </c>
      <c r="N61">
        <f t="shared" si="11"/>
        <v>1.5357890279663695</v>
      </c>
      <c r="O61" s="4">
        <f>N61/MAX(N$14:N61)-1</f>
        <v>0</v>
      </c>
    </row>
    <row r="62" spans="1:15" x14ac:dyDescent="0.3">
      <c r="A62" s="2">
        <v>41394</v>
      </c>
      <c r="B62" t="s">
        <v>64</v>
      </c>
      <c r="C62" t="s">
        <v>173</v>
      </c>
      <c r="D62" t="s">
        <v>310</v>
      </c>
      <c r="E62" s="4">
        <f t="shared" si="1"/>
        <v>-2.9031418156570066E-2</v>
      </c>
      <c r="F62" s="4">
        <f t="shared" si="2"/>
        <v>5.079053856743565E-3</v>
      </c>
      <c r="G62" s="4">
        <f t="shared" si="3"/>
        <v>1.7115460257051129E-3</v>
      </c>
      <c r="H62" s="7">
        <f t="shared" si="8"/>
        <v>12.104010719793024</v>
      </c>
      <c r="I62" s="7">
        <f t="shared" si="9"/>
        <v>12.548273525541452</v>
      </c>
      <c r="J62" s="7">
        <f t="shared" si="10"/>
        <v>12.317207098721738</v>
      </c>
      <c r="K62" s="3">
        <f t="shared" si="5"/>
        <v>0.32740538968056565</v>
      </c>
      <c r="L62" s="3">
        <f t="shared" si="6"/>
        <v>0.33942240126489881</v>
      </c>
      <c r="M62" s="3">
        <f t="shared" si="7"/>
        <v>0.33317220905453548</v>
      </c>
      <c r="N62">
        <f t="shared" si="11"/>
        <v>1.5244290572288577</v>
      </c>
      <c r="O62" s="4">
        <f>N62/MAX(N$14:N62)-1</f>
        <v>-7.396830248588393E-3</v>
      </c>
    </row>
    <row r="63" spans="1:15" x14ac:dyDescent="0.3">
      <c r="A63" s="2">
        <v>41425</v>
      </c>
      <c r="B63" t="s">
        <v>65</v>
      </c>
      <c r="C63" t="s">
        <v>174</v>
      </c>
      <c r="D63" t="s">
        <v>311</v>
      </c>
      <c r="E63" s="4">
        <f t="shared" si="1"/>
        <v>2.1720670391061514E-2</v>
      </c>
      <c r="F63" s="4">
        <f t="shared" si="2"/>
        <v>-1.9860746490126702E-2</v>
      </c>
      <c r="G63" s="4">
        <f t="shared" si="3"/>
        <v>-6.0597699197690869E-3</v>
      </c>
      <c r="H63" s="7">
        <f t="shared" si="8"/>
        <v>12.38627092330959</v>
      </c>
      <c r="I63" s="7">
        <f t="shared" si="9"/>
        <v>12.196791472756372</v>
      </c>
      <c r="J63" s="7">
        <f t="shared" si="10"/>
        <v>12.186164715291028</v>
      </c>
      <c r="K63" s="3">
        <f t="shared" si="5"/>
        <v>0.33686514230493075</v>
      </c>
      <c r="L63" s="3">
        <f t="shared" si="6"/>
        <v>0.33171193497807089</v>
      </c>
      <c r="M63" s="3">
        <f t="shared" si="7"/>
        <v>0.33142292271699836</v>
      </c>
      <c r="N63">
        <f t="shared" si="11"/>
        <v>1.5219157849435536</v>
      </c>
      <c r="O63" s="4">
        <f>N63/MAX(N$14:N63)-1</f>
        <v>-9.0332999977127404E-3</v>
      </c>
    </row>
    <row r="64" spans="1:15" x14ac:dyDescent="0.3">
      <c r="A64" s="2">
        <v>41453</v>
      </c>
      <c r="B64" t="s">
        <v>66</v>
      </c>
      <c r="C64" t="s">
        <v>175</v>
      </c>
      <c r="D64" t="s">
        <v>312</v>
      </c>
      <c r="E64" s="4">
        <f t="shared" si="1"/>
        <v>-7.5805957744630614E-2</v>
      </c>
      <c r="F64" s="4">
        <f t="shared" si="2"/>
        <v>-1.9850302253935692E-2</v>
      </c>
      <c r="G64" s="4">
        <f t="shared" si="3"/>
        <v>-1.5268479665161427E-3</v>
      </c>
      <c r="H64" s="7">
        <f t="shared" si="8"/>
        <v>11.366947362155289</v>
      </c>
      <c r="I64" s="7">
        <f t="shared" si="9"/>
        <v>11.886800292202174</v>
      </c>
      <c r="J64" s="7">
        <f t="shared" si="10"/>
        <v>12.124081118371977</v>
      </c>
      <c r="K64" s="3">
        <f t="shared" si="5"/>
        <v>0.32130144094420399</v>
      </c>
      <c r="L64" s="3">
        <f t="shared" si="6"/>
        <v>0.33599575509746848</v>
      </c>
      <c r="M64" s="3">
        <f t="shared" si="7"/>
        <v>0.34270280395832758</v>
      </c>
      <c r="N64">
        <f t="shared" si="11"/>
        <v>1.4722602396488482</v>
      </c>
      <c r="O64" s="4">
        <f>N64/MAX(N$14:N64)-1</f>
        <v>-4.1365569854111772E-2</v>
      </c>
    </row>
    <row r="65" spans="1:15" x14ac:dyDescent="0.3">
      <c r="A65" s="2">
        <v>41486</v>
      </c>
      <c r="B65" t="s">
        <v>67</v>
      </c>
      <c r="C65" t="s">
        <v>176</v>
      </c>
      <c r="D65" t="s">
        <v>313</v>
      </c>
      <c r="E65" s="4">
        <f t="shared" si="1"/>
        <v>2.6931086709579777E-2</v>
      </c>
      <c r="F65" s="4">
        <f t="shared" si="2"/>
        <v>-3.4131904689896908E-3</v>
      </c>
      <c r="G65" s="4">
        <f t="shared" si="3"/>
        <v>1.2832303184540095E-4</v>
      </c>
      <c r="H65" s="7">
        <f t="shared" si="8"/>
        <v>11.674285301566242</v>
      </c>
      <c r="I65" s="7">
        <f t="shared" si="9"/>
        <v>11.805080824691998</v>
      </c>
      <c r="J65" s="7">
        <f t="shared" si="10"/>
        <v>12.087141395190864</v>
      </c>
      <c r="K65" s="3">
        <f t="shared" si="5"/>
        <v>0.32823816885944807</v>
      </c>
      <c r="L65" s="3">
        <f t="shared" si="6"/>
        <v>0.33191566019162</v>
      </c>
      <c r="M65" s="3">
        <f t="shared" si="7"/>
        <v>0.33984617094893188</v>
      </c>
      <c r="N65">
        <f t="shared" si="11"/>
        <v>1.4833760343072999</v>
      </c>
      <c r="O65" s="4">
        <f>N65/MAX(N$14:N65)-1</f>
        <v>-3.4127730244611021E-2</v>
      </c>
    </row>
    <row r="66" spans="1:15" x14ac:dyDescent="0.3">
      <c r="A66" s="2">
        <v>41516</v>
      </c>
      <c r="B66" t="s">
        <v>68</v>
      </c>
      <c r="C66" t="s">
        <v>177</v>
      </c>
      <c r="D66" t="s">
        <v>314</v>
      </c>
      <c r="E66" s="4">
        <f t="shared" si="1"/>
        <v>1.3181545835829755E-2</v>
      </c>
      <c r="F66" s="4">
        <f t="shared" si="2"/>
        <v>2.1784839485834429E-3</v>
      </c>
      <c r="G66" s="4">
        <f t="shared" si="3"/>
        <v>4.2234245022774175E-3</v>
      </c>
      <c r="H66" s="7">
        <f t="shared" si="8"/>
        <v>11.823337710983955</v>
      </c>
      <c r="I66" s="7">
        <f t="shared" si="9"/>
        <v>11.826927157398476</v>
      </c>
      <c r="J66" s="7">
        <f t="shared" si="10"/>
        <v>12.114978026143501</v>
      </c>
      <c r="K66" s="3">
        <f t="shared" si="5"/>
        <v>0.33058178147571265</v>
      </c>
      <c r="L66" s="3">
        <f t="shared" si="6"/>
        <v>0.33068214277970565</v>
      </c>
      <c r="M66" s="3">
        <f t="shared" si="7"/>
        <v>0.33873607574458181</v>
      </c>
      <c r="N66">
        <f t="shared" si="11"/>
        <v>1.4929958377356938</v>
      </c>
      <c r="O66" s="4">
        <f>N66/MAX(N$14:N66)-1</f>
        <v>-2.7863977051158395E-2</v>
      </c>
    </row>
    <row r="67" spans="1:15" x14ac:dyDescent="0.3">
      <c r="A67" s="2">
        <v>41547</v>
      </c>
      <c r="B67" t="s">
        <v>69</v>
      </c>
      <c r="C67" t="s">
        <v>178</v>
      </c>
      <c r="D67" t="s">
        <v>315</v>
      </c>
      <c r="E67" s="4">
        <f t="shared" si="1"/>
        <v>4.0303871173179351E-2</v>
      </c>
      <c r="F67" s="4">
        <f t="shared" si="2"/>
        <v>1.2631533411920026E-2</v>
      </c>
      <c r="G67" s="4">
        <f t="shared" si="3"/>
        <v>4.6102575568829351E-3</v>
      </c>
      <c r="H67" s="7">
        <f t="shared" si="8"/>
        <v>12.282103644460909</v>
      </c>
      <c r="I67" s="7">
        <f t="shared" si="9"/>
        <v>11.980333476816144</v>
      </c>
      <c r="J67" s="7">
        <f t="shared" si="10"/>
        <v>12.148213164018232</v>
      </c>
      <c r="K67" s="3">
        <f t="shared" ref="K67:K130" si="12">H67/SUM($H67:$J67)</f>
        <v>0.33732173274095928</v>
      </c>
      <c r="L67" s="3">
        <f t="shared" ref="L67:L130" si="13">I67/SUM($H67:$J67)</f>
        <v>0.32903376849752369</v>
      </c>
      <c r="M67" s="3">
        <f t="shared" ref="M67:M130" si="14">J67/SUM($H67:$J67)</f>
        <v>0.33364449876151703</v>
      </c>
      <c r="N67">
        <f t="shared" si="11"/>
        <v>1.5214559344641156</v>
      </c>
      <c r="O67" s="4">
        <f>N67/MAX(N$14:N67)-1</f>
        <v>-9.33272294647991E-3</v>
      </c>
    </row>
    <row r="68" spans="1:15" x14ac:dyDescent="0.3">
      <c r="A68" s="2">
        <v>41578</v>
      </c>
      <c r="B68" t="s">
        <v>70</v>
      </c>
      <c r="C68" t="s">
        <v>179</v>
      </c>
      <c r="D68" t="s">
        <v>316</v>
      </c>
      <c r="E68" s="4">
        <f t="shared" ref="E68:E131" si="15">IFERROR(B68/B67-1,0)</f>
        <v>2.553675280948009E-2</v>
      </c>
      <c r="F68" s="4">
        <f t="shared" ref="F68:F131" si="16">IFERROR(C68/C67-1,0)</f>
        <v>4.528221284775924E-3</v>
      </c>
      <c r="G68" s="4">
        <f t="shared" ref="G68:G131" si="17">IFERROR(D68/D67-1,0)</f>
        <v>2.5966042775080744E-3</v>
      </c>
      <c r="H68" s="7">
        <f t="shared" si="8"/>
        <v>12.586061429660099</v>
      </c>
      <c r="I68" s="7">
        <f t="shared" si="9"/>
        <v>12.029905389341515</v>
      </c>
      <c r="J68" s="7">
        <f t="shared" si="10"/>
        <v>12.154617738627477</v>
      </c>
      <c r="K68" s="3">
        <f t="shared" si="12"/>
        <v>0.342286139344194</v>
      </c>
      <c r="L68" s="3">
        <f t="shared" si="13"/>
        <v>0.3271611135386634</v>
      </c>
      <c r="M68" s="3">
        <f t="shared" si="14"/>
        <v>0.33055274711714255</v>
      </c>
      <c r="N68">
        <f t="shared" ref="N68:N131" si="18">(1+SUMPRODUCT(K67:M67,E68:G68))*N67</f>
        <v>1.5381468874938979</v>
      </c>
      <c r="O68" s="4">
        <f>N68/MAX(N$14:N68)-1</f>
        <v>0</v>
      </c>
    </row>
    <row r="69" spans="1:15" x14ac:dyDescent="0.3">
      <c r="A69" s="2">
        <v>41607</v>
      </c>
      <c r="B69" t="s">
        <v>71</v>
      </c>
      <c r="C69" t="s">
        <v>180</v>
      </c>
      <c r="D69" t="s">
        <v>317</v>
      </c>
      <c r="E69" s="4">
        <f t="shared" si="15"/>
        <v>8.1013090009807165E-3</v>
      </c>
      <c r="F69" s="4">
        <f t="shared" si="16"/>
        <v>-1.6351438990420908E-2</v>
      </c>
      <c r="G69" s="4">
        <f t="shared" si="17"/>
        <v>-3.2452774342223156E-3</v>
      </c>
      <c r="H69" s="7">
        <f t="shared" si="8"/>
        <v>12.604070884156346</v>
      </c>
      <c r="I69" s="7">
        <f t="shared" si="9"/>
        <v>11.828533847722499</v>
      </c>
      <c r="J69" s="7">
        <f t="shared" si="10"/>
        <v>12.090290212750826</v>
      </c>
      <c r="K69" s="3">
        <f t="shared" si="12"/>
        <v>0.34510054318707972</v>
      </c>
      <c r="L69" s="3">
        <f t="shared" si="13"/>
        <v>0.32386627253001388</v>
      </c>
      <c r="M69" s="3">
        <f t="shared" si="14"/>
        <v>0.33103318428290646</v>
      </c>
      <c r="N69">
        <f t="shared" si="18"/>
        <v>1.5325336902535229</v>
      </c>
      <c r="O69" s="4">
        <f>N69/MAX(N$14:N69)-1</f>
        <v>-3.6493245775249816E-3</v>
      </c>
    </row>
    <row r="70" spans="1:15" x14ac:dyDescent="0.3">
      <c r="A70" s="2">
        <v>41638</v>
      </c>
      <c r="B70" t="s">
        <v>72</v>
      </c>
      <c r="C70" t="s">
        <v>181</v>
      </c>
      <c r="D70" t="s">
        <v>318</v>
      </c>
      <c r="E70" s="4">
        <f t="shared" si="15"/>
        <v>-1.1631349659518619E-2</v>
      </c>
      <c r="F70" s="4">
        <f t="shared" si="16"/>
        <v>1.0527339739086372E-2</v>
      </c>
      <c r="G70" s="4">
        <f t="shared" si="17"/>
        <v>6.1829211385908689E-3</v>
      </c>
      <c r="H70" s="7">
        <f t="shared" si="8"/>
        <v>12.385486874889519</v>
      </c>
      <c r="I70" s="7">
        <f t="shared" si="9"/>
        <v>11.963701821401607</v>
      </c>
      <c r="J70" s="7">
        <f t="shared" si="10"/>
        <v>12.143806932780885</v>
      </c>
      <c r="K70" s="3">
        <f t="shared" si="12"/>
        <v>0.33939353734563427</v>
      </c>
      <c r="L70" s="3">
        <f t="shared" si="13"/>
        <v>0.32783556447393336</v>
      </c>
      <c r="M70" s="3">
        <f t="shared" si="14"/>
        <v>0.33277089818043232</v>
      </c>
      <c r="N70">
        <f t="shared" si="18"/>
        <v>1.5347439368056037</v>
      </c>
      <c r="O70" s="4">
        <f>N70/MAX(N$14:N70)-1</f>
        <v>-2.2123704283136814E-3</v>
      </c>
    </row>
    <row r="71" spans="1:15" x14ac:dyDescent="0.3">
      <c r="A71" s="2">
        <v>41668</v>
      </c>
      <c r="B71" t="s">
        <v>73</v>
      </c>
      <c r="C71" t="s">
        <v>182</v>
      </c>
      <c r="D71" t="s">
        <v>319</v>
      </c>
      <c r="E71" s="4">
        <f t="shared" si="15"/>
        <v>-3.9584046559397512E-2</v>
      </c>
      <c r="F71" s="4">
        <f t="shared" si="16"/>
        <v>-1.4760147601475815E-3</v>
      </c>
      <c r="G71" s="4">
        <f t="shared" si="17"/>
        <v>1.5915678524374144E-3</v>
      </c>
      <c r="H71" s="7">
        <f t="shared" si="8"/>
        <v>11.87917325268393</v>
      </c>
      <c r="I71" s="7">
        <f t="shared" si="9"/>
        <v>11.93999396982221</v>
      </c>
      <c r="J71" s="7">
        <f t="shared" si="10"/>
        <v>12.137917613743827</v>
      </c>
      <c r="K71" s="3">
        <f t="shared" si="12"/>
        <v>0.33037086590256615</v>
      </c>
      <c r="L71" s="3">
        <f t="shared" si="13"/>
        <v>0.3320623466612333</v>
      </c>
      <c r="M71" s="3">
        <f t="shared" si="14"/>
        <v>0.33756678743620072</v>
      </c>
      <c r="N71">
        <f t="shared" si="18"/>
        <v>1.514195507685107</v>
      </c>
      <c r="O71" s="4">
        <f>N71/MAX(N$14:N71)-1</f>
        <v>-1.5571581624310826E-2</v>
      </c>
    </row>
    <row r="72" spans="1:15" x14ac:dyDescent="0.3">
      <c r="A72" s="2">
        <v>41698</v>
      </c>
      <c r="B72" t="s">
        <v>74</v>
      </c>
      <c r="C72" t="s">
        <v>183</v>
      </c>
      <c r="D72" t="s">
        <v>320</v>
      </c>
      <c r="E72" s="4">
        <f t="shared" si="15"/>
        <v>1.5595063048612134E-2</v>
      </c>
      <c r="F72" s="4">
        <f t="shared" si="16"/>
        <v>1.1868419079447801E-2</v>
      </c>
      <c r="G72" s="4">
        <f t="shared" si="17"/>
        <v>4.3882726832655816E-3</v>
      </c>
      <c r="H72" s="7">
        <f t="shared" si="8"/>
        <v>12.067407596221452</v>
      </c>
      <c r="I72" s="7">
        <f t="shared" si="9"/>
        <v>12.084599278524765</v>
      </c>
      <c r="J72" s="7">
        <f t="shared" si="10"/>
        <v>12.168097318900408</v>
      </c>
      <c r="K72" s="3">
        <f t="shared" si="12"/>
        <v>0.33225145863795097</v>
      </c>
      <c r="L72" s="3">
        <f t="shared" si="13"/>
        <v>0.33272479655052006</v>
      </c>
      <c r="M72" s="3">
        <f t="shared" si="14"/>
        <v>0.33502374481152886</v>
      </c>
      <c r="N72">
        <f t="shared" si="18"/>
        <v>1.530207435744372</v>
      </c>
      <c r="O72" s="4">
        <f>N72/MAX(N$14:N72)-1</f>
        <v>-5.1616993240883868E-3</v>
      </c>
    </row>
    <row r="73" spans="1:15" x14ac:dyDescent="0.3">
      <c r="A73" s="2">
        <v>41729</v>
      </c>
      <c r="B73" t="s">
        <v>75</v>
      </c>
      <c r="C73" t="s">
        <v>184</v>
      </c>
      <c r="D73" t="s">
        <v>321</v>
      </c>
      <c r="E73" s="4">
        <f t="shared" si="15"/>
        <v>-1.3161935682004522E-4</v>
      </c>
      <c r="F73" s="4">
        <f t="shared" si="16"/>
        <v>2.7629280685967927E-3</v>
      </c>
      <c r="G73" s="4">
        <f t="shared" si="17"/>
        <v>1.7602129019413937E-3</v>
      </c>
      <c r="H73" s="7">
        <f t="shared" si="8"/>
        <v>12.092961563769586</v>
      </c>
      <c r="I73" s="7">
        <f t="shared" si="9"/>
        <v>12.12112043539787</v>
      </c>
      <c r="J73" s="7">
        <f t="shared" si="10"/>
        <v>12.168348340708468</v>
      </c>
      <c r="K73" s="3">
        <f t="shared" si="12"/>
        <v>0.33238465519757876</v>
      </c>
      <c r="L73" s="3">
        <f t="shared" si="13"/>
        <v>0.33315862415361686</v>
      </c>
      <c r="M73" s="3">
        <f t="shared" si="14"/>
        <v>0.33445672064880438</v>
      </c>
      <c r="N73">
        <f t="shared" si="18"/>
        <v>1.532449613618881</v>
      </c>
      <c r="O73" s="4">
        <f>N73/MAX(N$14:N73)-1</f>
        <v>-3.7039855694793733E-3</v>
      </c>
    </row>
    <row r="74" spans="1:15" x14ac:dyDescent="0.3">
      <c r="A74" s="2">
        <v>41759</v>
      </c>
      <c r="B74" t="s">
        <v>76</v>
      </c>
      <c r="C74" t="s">
        <v>185</v>
      </c>
      <c r="D74" t="s">
        <v>172</v>
      </c>
      <c r="E74" s="4">
        <f t="shared" si="15"/>
        <v>-1.0048266783677096E-2</v>
      </c>
      <c r="F74" s="4">
        <f t="shared" si="16"/>
        <v>1.9318877604881379E-3</v>
      </c>
      <c r="G74" s="4">
        <f t="shared" si="17"/>
        <v>2.855319994561345E-3</v>
      </c>
      <c r="H74" s="7">
        <f t="shared" si="8"/>
        <v>11.982359895783054</v>
      </c>
      <c r="I74" s="7">
        <f t="shared" si="9"/>
        <v>12.156637504353094</v>
      </c>
      <c r="J74" s="7">
        <f t="shared" si="10"/>
        <v>12.18663216958808</v>
      </c>
      <c r="K74" s="3">
        <f t="shared" si="12"/>
        <v>0.32985966210947132</v>
      </c>
      <c r="L74" s="3">
        <f t="shared" si="13"/>
        <v>0.33465731078436978</v>
      </c>
      <c r="M74" s="3">
        <f t="shared" si="14"/>
        <v>0.3354830271061589</v>
      </c>
      <c r="N74">
        <f t="shared" si="18"/>
        <v>1.5297811841467011</v>
      </c>
      <c r="O74" s="4">
        <f>N74/MAX(N$14:N74)-1</f>
        <v>-5.438819540068196E-3</v>
      </c>
    </row>
    <row r="75" spans="1:15" x14ac:dyDescent="0.3">
      <c r="A75" s="2">
        <v>41789</v>
      </c>
      <c r="B75" t="s">
        <v>77</v>
      </c>
      <c r="C75" t="s">
        <v>186</v>
      </c>
      <c r="D75" t="s">
        <v>322</v>
      </c>
      <c r="E75" s="4">
        <f t="shared" si="15"/>
        <v>2.2428083861530945E-2</v>
      </c>
      <c r="F75" s="4">
        <f t="shared" si="16"/>
        <v>1.697415418980297E-2</v>
      </c>
      <c r="G75" s="4">
        <f t="shared" si="17"/>
        <v>4.5888782278586948E-3</v>
      </c>
      <c r="H75" s="7">
        <f t="shared" si="8"/>
        <v>12.242601977944574</v>
      </c>
      <c r="I75" s="7">
        <f t="shared" si="9"/>
        <v>12.378414189702241</v>
      </c>
      <c r="J75" s="7">
        <f t="shared" si="10"/>
        <v>12.224900099844922</v>
      </c>
      <c r="K75" s="3">
        <f t="shared" si="12"/>
        <v>0.33226482655680151</v>
      </c>
      <c r="L75" s="3">
        <f t="shared" si="13"/>
        <v>0.33595077673840934</v>
      </c>
      <c r="M75" s="3">
        <f t="shared" si="14"/>
        <v>0.3317843967047891</v>
      </c>
      <c r="N75">
        <f t="shared" si="18"/>
        <v>1.5521437331142218</v>
      </c>
      <c r="O75" s="4">
        <f>N75/MAX(N$14:N75)-1</f>
        <v>0</v>
      </c>
    </row>
    <row r="76" spans="1:15" x14ac:dyDescent="0.3">
      <c r="A76" s="2">
        <v>41820</v>
      </c>
      <c r="B76" t="s">
        <v>78</v>
      </c>
      <c r="C76" t="s">
        <v>187</v>
      </c>
      <c r="D76" t="s">
        <v>323</v>
      </c>
      <c r="E76" s="4">
        <f t="shared" si="15"/>
        <v>-4.161789569514851E-3</v>
      </c>
      <c r="F76" s="4">
        <f t="shared" si="16"/>
        <v>1.6255698300870369E-2</v>
      </c>
      <c r="G76" s="4">
        <f t="shared" si="17"/>
        <v>6.2497404592831707E-3</v>
      </c>
      <c r="H76" s="7">
        <f t="shared" si="8"/>
        <v>12.182677367131886</v>
      </c>
      <c r="I76" s="7">
        <f t="shared" si="9"/>
        <v>12.557438295694764</v>
      </c>
      <c r="J76" s="7">
        <f t="shared" si="10"/>
        <v>12.272648335009173</v>
      </c>
      <c r="K76" s="3">
        <f t="shared" si="12"/>
        <v>0.32914800331702387</v>
      </c>
      <c r="L76" s="3">
        <f t="shared" si="13"/>
        <v>0.33927318414882535</v>
      </c>
      <c r="M76" s="3">
        <f t="shared" si="14"/>
        <v>0.33157881253415089</v>
      </c>
      <c r="N76">
        <f t="shared" si="18"/>
        <v>1.561692311120868</v>
      </c>
      <c r="O76" s="4">
        <f>N76/MAX(N$14:N76)-1</f>
        <v>0</v>
      </c>
    </row>
    <row r="77" spans="1:15" x14ac:dyDescent="0.3">
      <c r="A77" s="2">
        <v>41851</v>
      </c>
      <c r="B77" t="s">
        <v>79</v>
      </c>
      <c r="C77" t="s">
        <v>188</v>
      </c>
      <c r="D77" t="s">
        <v>324</v>
      </c>
      <c r="E77" s="4">
        <f t="shared" si="15"/>
        <v>4.0485829959514108E-2</v>
      </c>
      <c r="F77" s="4">
        <f t="shared" si="16"/>
        <v>1.002151107667526E-2</v>
      </c>
      <c r="G77" s="4">
        <f t="shared" si="17"/>
        <v>6.6751955099766391E-3</v>
      </c>
      <c r="H77" s="7">
        <f t="shared" si="8"/>
        <v>12.585141367956552</v>
      </c>
      <c r="I77" s="7">
        <f t="shared" si="9"/>
        <v>12.623204294304188</v>
      </c>
      <c r="J77" s="7">
        <f t="shared" si="10"/>
        <v>12.317840592058785</v>
      </c>
      <c r="K77" s="3">
        <f t="shared" si="12"/>
        <v>0.33536958119499594</v>
      </c>
      <c r="L77" s="3">
        <f t="shared" si="13"/>
        <v>0.33638388427630767</v>
      </c>
      <c r="M77" s="3">
        <f t="shared" si="14"/>
        <v>0.32824653452869634</v>
      </c>
      <c r="N77">
        <f t="shared" si="18"/>
        <v>1.59126953517159</v>
      </c>
      <c r="O77" s="4">
        <f>N77/MAX(N$14:N77)-1</f>
        <v>0</v>
      </c>
    </row>
    <row r="78" spans="1:15" x14ac:dyDescent="0.3">
      <c r="A78" s="2">
        <v>41880</v>
      </c>
      <c r="B78" t="s">
        <v>80</v>
      </c>
      <c r="C78" t="s">
        <v>189</v>
      </c>
      <c r="D78" t="s">
        <v>325</v>
      </c>
      <c r="E78" s="4">
        <f t="shared" si="15"/>
        <v>-1.8785824860884537E-2</v>
      </c>
      <c r="F78" s="4">
        <f t="shared" si="16"/>
        <v>3.9264373385012874E-3</v>
      </c>
      <c r="G78" s="4">
        <f t="shared" si="17"/>
        <v>2.428950631834681E-3</v>
      </c>
      <c r="H78" s="7">
        <f t="shared" si="8"/>
        <v>12.249046522969715</v>
      </c>
      <c r="I78" s="7">
        <f t="shared" si="9"/>
        <v>12.598713897538969</v>
      </c>
      <c r="J78" s="7">
        <f t="shared" si="10"/>
        <v>12.304383524904205</v>
      </c>
      <c r="K78" s="3">
        <f t="shared" si="12"/>
        <v>0.32969958721539905</v>
      </c>
      <c r="L78" s="3">
        <f t="shared" si="13"/>
        <v>0.33911135562055528</v>
      </c>
      <c r="M78" s="3">
        <f t="shared" si="14"/>
        <v>0.33118905716404573</v>
      </c>
      <c r="N78">
        <f t="shared" si="18"/>
        <v>1.5846146719777154</v>
      </c>
      <c r="O78" s="4">
        <f>N78/MAX(N$14:N78)-1</f>
        <v>-4.1821093452637514E-3</v>
      </c>
    </row>
    <row r="79" spans="1:15" x14ac:dyDescent="0.3">
      <c r="A79" s="2">
        <v>41912</v>
      </c>
      <c r="B79" t="s">
        <v>81</v>
      </c>
      <c r="C79" t="s">
        <v>190</v>
      </c>
      <c r="D79" t="s">
        <v>326</v>
      </c>
      <c r="E79" s="4">
        <f t="shared" si="15"/>
        <v>-2.9038035135596107E-2</v>
      </c>
      <c r="F79" s="4">
        <f t="shared" si="16"/>
        <v>1.6549200189018842E-2</v>
      </c>
      <c r="G79" s="4">
        <f t="shared" si="17"/>
        <v>8.1177793681628252E-3</v>
      </c>
      <c r="H79" s="7">
        <f t="shared" ref="H79:H142" si="19">IFERROR(B79/B78+B79/B77+B79/B76+B79/B75+B79/B74+B79/B73+B79/B72+B79/B71+B79/B70+B79/B69+B79/B68+B79/B67,0)</f>
        <v>11.828474363614601</v>
      </c>
      <c r="I79" s="7">
        <f t="shared" ref="I79:I142" si="20">IFERROR(C79/C78+C79/C77+C79/C76+C79/C75+C79/C74+C79/C73+C79/C72+C79/C71+C79/C70+C79/C69+C79/C68+C79/C67,0)</f>
        <v>12.730322995835179</v>
      </c>
      <c r="J79" s="7">
        <f t="shared" ref="J79:J142" si="21">IFERROR(D79/D78+D79/D77+D79/D76+D79/D75+D79/D74+D79/D73+D79/D72+D79/D71+D79/D70+D79/D69+D79/D68+D79/D67,0)</f>
        <v>12.362524521550268</v>
      </c>
      <c r="K79" s="3">
        <f t="shared" si="12"/>
        <v>0.32036974195394696</v>
      </c>
      <c r="L79" s="3">
        <f t="shared" si="13"/>
        <v>0.34479597011358054</v>
      </c>
      <c r="M79" s="3">
        <f t="shared" si="14"/>
        <v>0.33483428793247255</v>
      </c>
      <c r="N79">
        <f t="shared" si="18"/>
        <v>1.5825970030454601</v>
      </c>
      <c r="O79" s="4">
        <f>N79/MAX(N$14:N79)-1</f>
        <v>-5.4500711126821422E-3</v>
      </c>
    </row>
    <row r="80" spans="1:15" x14ac:dyDescent="0.3">
      <c r="A80" s="2">
        <v>41943</v>
      </c>
      <c r="B80" t="s">
        <v>82</v>
      </c>
      <c r="C80" t="s">
        <v>191</v>
      </c>
      <c r="D80" t="s">
        <v>327</v>
      </c>
      <c r="E80" s="4">
        <f t="shared" si="15"/>
        <v>-2.7535022616485882E-2</v>
      </c>
      <c r="F80" s="4">
        <f t="shared" si="16"/>
        <v>1.9513980238756945E-2</v>
      </c>
      <c r="G80" s="4">
        <f t="shared" si="17"/>
        <v>7.7177396454504166E-3</v>
      </c>
      <c r="H80" s="7">
        <f t="shared" si="19"/>
        <v>11.50694433630704</v>
      </c>
      <c r="I80" s="7">
        <f t="shared" si="20"/>
        <v>12.8973858464224</v>
      </c>
      <c r="J80" s="7">
        <f t="shared" si="21"/>
        <v>12.412544500549895</v>
      </c>
      <c r="K80" s="3">
        <f t="shared" si="12"/>
        <v>0.31254538673628934</v>
      </c>
      <c r="L80" s="3">
        <f t="shared" si="13"/>
        <v>0.35031180558842617</v>
      </c>
      <c r="M80" s="3">
        <f t="shared" si="14"/>
        <v>0.33714280767528448</v>
      </c>
      <c r="N80">
        <f t="shared" si="18"/>
        <v>1.5833742441536216</v>
      </c>
      <c r="O80" s="4">
        <f>N80/MAX(N$14:N80)-1</f>
        <v>-4.9616302225737874E-3</v>
      </c>
    </row>
    <row r="81" spans="1:15" x14ac:dyDescent="0.3">
      <c r="A81" s="2">
        <v>41971</v>
      </c>
      <c r="B81" t="s">
        <v>83</v>
      </c>
      <c r="C81" t="s">
        <v>192</v>
      </c>
      <c r="D81" t="s">
        <v>328</v>
      </c>
      <c r="E81" s="4">
        <f t="shared" si="15"/>
        <v>1.3276734104046284E-2</v>
      </c>
      <c r="F81" s="4">
        <f t="shared" si="16"/>
        <v>6.4221963523476422E-3</v>
      </c>
      <c r="G81" s="4">
        <f t="shared" si="17"/>
        <v>3.1097468927689942E-3</v>
      </c>
      <c r="H81" s="7">
        <f t="shared" si="19"/>
        <v>11.716273756166904</v>
      </c>
      <c r="I81" s="7">
        <f t="shared" si="20"/>
        <v>12.883691563871729</v>
      </c>
      <c r="J81" s="7">
        <f t="shared" si="21"/>
        <v>12.400606617575393</v>
      </c>
      <c r="K81" s="3">
        <f t="shared" si="12"/>
        <v>0.31665115274221961</v>
      </c>
      <c r="L81" s="3">
        <f t="shared" si="13"/>
        <v>0.34820249766935174</v>
      </c>
      <c r="M81" s="3">
        <f t="shared" si="14"/>
        <v>0.33514634958842865</v>
      </c>
      <c r="N81">
        <f t="shared" si="18"/>
        <v>1.5951668703386217</v>
      </c>
      <c r="O81" s="4">
        <f>N81/MAX(N$14:N81)-1</f>
        <v>0</v>
      </c>
    </row>
    <row r="82" spans="1:15" x14ac:dyDescent="0.3">
      <c r="A82" s="2">
        <v>42003</v>
      </c>
      <c r="B82" t="s">
        <v>84</v>
      </c>
      <c r="C82" t="s">
        <v>193</v>
      </c>
      <c r="D82" t="s">
        <v>329</v>
      </c>
      <c r="E82" s="4">
        <f t="shared" si="15"/>
        <v>-2.705232195382834E-2</v>
      </c>
      <c r="F82" s="4">
        <f t="shared" si="16"/>
        <v>1.8411058202079111E-3</v>
      </c>
      <c r="G82" s="4">
        <f t="shared" si="17"/>
        <v>7.7251841001668708E-4</v>
      </c>
      <c r="H82" s="7">
        <f t="shared" si="19"/>
        <v>11.448909044764049</v>
      </c>
      <c r="I82" s="7">
        <f t="shared" si="20"/>
        <v>12.785907938884886</v>
      </c>
      <c r="J82" s="7">
        <f t="shared" si="21"/>
        <v>12.35306420768606</v>
      </c>
      <c r="K82" s="3">
        <f t="shared" si="12"/>
        <v>0.31291533349232209</v>
      </c>
      <c r="L82" s="3">
        <f t="shared" si="13"/>
        <v>0.3494574575669317</v>
      </c>
      <c r="M82" s="3">
        <f t="shared" si="14"/>
        <v>0.33762720894074627</v>
      </c>
      <c r="N82">
        <f t="shared" si="18"/>
        <v>1.5829380586085795</v>
      </c>
      <c r="O82" s="4">
        <f>N82/MAX(N$14:N82)-1</f>
        <v>-7.6661645608564477E-3</v>
      </c>
    </row>
    <row r="83" spans="1:15" x14ac:dyDescent="0.3">
      <c r="A83" s="2">
        <v>42034</v>
      </c>
      <c r="B83" t="s">
        <v>85</v>
      </c>
      <c r="C83" t="s">
        <v>194</v>
      </c>
      <c r="D83" t="s">
        <v>330</v>
      </c>
      <c r="E83" s="4">
        <f t="shared" si="15"/>
        <v>3.0507077092208235E-2</v>
      </c>
      <c r="F83" s="4">
        <f t="shared" si="16"/>
        <v>2.9595989724149119E-2</v>
      </c>
      <c r="G83" s="4">
        <f t="shared" si="17"/>
        <v>7.0174735090375862E-3</v>
      </c>
      <c r="H83" s="7">
        <f t="shared" si="19"/>
        <v>11.865962066818163</v>
      </c>
      <c r="I83" s="7">
        <f t="shared" si="20"/>
        <v>13.049373039679038</v>
      </c>
      <c r="J83" s="7">
        <f t="shared" si="21"/>
        <v>12.387996913516773</v>
      </c>
      <c r="K83" s="3">
        <f t="shared" si="12"/>
        <v>0.31809389200009908</v>
      </c>
      <c r="L83" s="3">
        <f t="shared" si="13"/>
        <v>0.3498178938191846</v>
      </c>
      <c r="M83" s="3">
        <f t="shared" si="14"/>
        <v>0.33208821418071627</v>
      </c>
      <c r="N83">
        <f t="shared" si="18"/>
        <v>1.6181710330056873</v>
      </c>
      <c r="O83" s="4">
        <f>N83/MAX(N$14:N83)-1</f>
        <v>0</v>
      </c>
    </row>
    <row r="84" spans="1:15" x14ac:dyDescent="0.3">
      <c r="A84" s="2">
        <v>42062</v>
      </c>
      <c r="B84" t="s">
        <v>86</v>
      </c>
      <c r="C84" t="s">
        <v>195</v>
      </c>
      <c r="D84" t="s">
        <v>331</v>
      </c>
      <c r="E84" s="4">
        <f t="shared" si="15"/>
        <v>2.355869671511801E-3</v>
      </c>
      <c r="F84" s="4">
        <f t="shared" si="16"/>
        <v>-7.0554813146558315E-3</v>
      </c>
      <c r="G84" s="4">
        <f t="shared" si="17"/>
        <v>-1.9910204975559509E-4</v>
      </c>
      <c r="H84" s="7">
        <f t="shared" si="19"/>
        <v>11.891504963085625</v>
      </c>
      <c r="I84" s="7">
        <f t="shared" si="20"/>
        <v>12.812100838018532</v>
      </c>
      <c r="J84" s="7">
        <f t="shared" si="21"/>
        <v>12.328452165977776</v>
      </c>
      <c r="K84" s="3">
        <f t="shared" si="12"/>
        <v>0.32111380290169317</v>
      </c>
      <c r="L84" s="3">
        <f t="shared" si="13"/>
        <v>0.34597323349966946</v>
      </c>
      <c r="M84" s="3">
        <f t="shared" si="14"/>
        <v>0.33291296359863737</v>
      </c>
      <c r="N84">
        <f t="shared" si="18"/>
        <v>1.615282815671869</v>
      </c>
      <c r="O84" s="4">
        <f>N84/MAX(N$14:N84)-1</f>
        <v>-1.7848653046603769E-3</v>
      </c>
    </row>
    <row r="85" spans="1:15" x14ac:dyDescent="0.3">
      <c r="A85" s="2">
        <v>42094</v>
      </c>
      <c r="B85" t="s">
        <v>87</v>
      </c>
      <c r="C85" t="s">
        <v>196</v>
      </c>
      <c r="D85" t="s">
        <v>332</v>
      </c>
      <c r="E85" s="4">
        <f t="shared" si="15"/>
        <v>2.164079822616416E-2</v>
      </c>
      <c r="F85" s="4">
        <f t="shared" si="16"/>
        <v>1.8898112071074946E-2</v>
      </c>
      <c r="G85" s="4">
        <f t="shared" si="17"/>
        <v>1.0584381316525837E-2</v>
      </c>
      <c r="H85" s="7">
        <f t="shared" si="19"/>
        <v>12.159738506683048</v>
      </c>
      <c r="I85" s="7">
        <f t="shared" si="20"/>
        <v>12.927069373483466</v>
      </c>
      <c r="J85" s="7">
        <f t="shared" si="21"/>
        <v>12.406126489218416</v>
      </c>
      <c r="K85" s="3">
        <f t="shared" si="12"/>
        <v>0.32432080100436611</v>
      </c>
      <c r="L85" s="3">
        <f t="shared" si="13"/>
        <v>0.3447868135933137</v>
      </c>
      <c r="M85" s="3">
        <f t="shared" si="14"/>
        <v>0.33089238540232024</v>
      </c>
      <c r="N85">
        <f t="shared" si="18"/>
        <v>1.6427605171703763</v>
      </c>
      <c r="O85" s="4">
        <f>N85/MAX(N$14:N85)-1</f>
        <v>0</v>
      </c>
    </row>
    <row r="86" spans="1:15" x14ac:dyDescent="0.3">
      <c r="A86" s="2">
        <v>42124</v>
      </c>
      <c r="B86" t="s">
        <v>88</v>
      </c>
      <c r="C86" t="s">
        <v>197</v>
      </c>
      <c r="D86" t="s">
        <v>333</v>
      </c>
      <c r="E86" s="4">
        <f t="shared" si="15"/>
        <v>3.7590068582342262E-2</v>
      </c>
      <c r="F86" s="4">
        <f t="shared" si="16"/>
        <v>-1.681106944264843E-2</v>
      </c>
      <c r="G86" s="4">
        <f t="shared" si="17"/>
        <v>-3.1036317417778569E-3</v>
      </c>
      <c r="H86" s="7">
        <f t="shared" si="19"/>
        <v>12.605532891478376</v>
      </c>
      <c r="I86" s="7">
        <f t="shared" si="20"/>
        <v>12.569257399387135</v>
      </c>
      <c r="J86" s="7">
        <f t="shared" si="21"/>
        <v>12.30628283248026</v>
      </c>
      <c r="K86" s="3">
        <f t="shared" si="12"/>
        <v>0.33631728872850203</v>
      </c>
      <c r="L86" s="3">
        <f t="shared" si="13"/>
        <v>0.33534945379026904</v>
      </c>
      <c r="M86" s="3">
        <f t="shared" si="14"/>
        <v>0.3283332574812291</v>
      </c>
      <c r="N86">
        <f t="shared" si="18"/>
        <v>1.6515789180116267</v>
      </c>
      <c r="O86" s="4">
        <f>N86/MAX(N$14:N86)-1</f>
        <v>0</v>
      </c>
    </row>
    <row r="87" spans="1:15" x14ac:dyDescent="0.3">
      <c r="A87" s="2">
        <v>42153</v>
      </c>
      <c r="B87" t="s">
        <v>89</v>
      </c>
      <c r="C87" t="s">
        <v>198</v>
      </c>
      <c r="D87" t="s">
        <v>334</v>
      </c>
      <c r="E87" s="4">
        <f t="shared" si="15"/>
        <v>-2.3134203480589033E-2</v>
      </c>
      <c r="F87" s="4">
        <f t="shared" si="16"/>
        <v>6.839405497829798E-3</v>
      </c>
      <c r="G87" s="4">
        <f t="shared" si="17"/>
        <v>4.1609424880657553E-3</v>
      </c>
      <c r="H87" s="7">
        <f t="shared" si="19"/>
        <v>12.255763546744177</v>
      </c>
      <c r="I87" s="7">
        <f t="shared" si="20"/>
        <v>12.53287614769453</v>
      </c>
      <c r="J87" s="7">
        <f t="shared" si="21"/>
        <v>12.302035810188782</v>
      </c>
      <c r="K87" s="3">
        <f t="shared" si="12"/>
        <v>0.33042707850427605</v>
      </c>
      <c r="L87" s="3">
        <f t="shared" si="13"/>
        <v>0.337898298620388</v>
      </c>
      <c r="M87" s="3">
        <f t="shared" si="14"/>
        <v>0.33167462287533589</v>
      </c>
      <c r="N87">
        <f t="shared" si="18"/>
        <v>1.6447733130958351</v>
      </c>
      <c r="O87" s="4">
        <f>N87/MAX(N$14:N87)-1</f>
        <v>-4.1206658922390282E-3</v>
      </c>
    </row>
    <row r="88" spans="1:15" x14ac:dyDescent="0.3">
      <c r="A88" s="2">
        <v>42185</v>
      </c>
      <c r="B88" t="s">
        <v>90</v>
      </c>
      <c r="C88" t="s">
        <v>199</v>
      </c>
      <c r="D88" t="s">
        <v>335</v>
      </c>
      <c r="E88" s="4">
        <f t="shared" si="15"/>
        <v>-3.15189927626226E-2</v>
      </c>
      <c r="F88" s="4">
        <f t="shared" si="16"/>
        <v>-6.5223476719231677E-3</v>
      </c>
      <c r="G88" s="4">
        <f t="shared" si="17"/>
        <v>-2.9527559055164687E-5</v>
      </c>
      <c r="H88" s="7">
        <f t="shared" si="19"/>
        <v>11.857550324007779</v>
      </c>
      <c r="I88" s="7">
        <f t="shared" si="20"/>
        <v>12.341512220894163</v>
      </c>
      <c r="J88" s="7">
        <f t="shared" si="21"/>
        <v>12.24690070556443</v>
      </c>
      <c r="K88" s="3">
        <f t="shared" si="12"/>
        <v>0.3253460538968207</v>
      </c>
      <c r="L88" s="3">
        <f t="shared" si="13"/>
        <v>0.33862494279764271</v>
      </c>
      <c r="M88" s="3">
        <f t="shared" si="14"/>
        <v>0.33602900330553664</v>
      </c>
      <c r="N88">
        <f t="shared" si="18"/>
        <v>1.6240024373617723</v>
      </c>
      <c r="O88" s="4">
        <f>N88/MAX(N$14:N88)-1</f>
        <v>-1.6697040843227984E-2</v>
      </c>
    </row>
    <row r="89" spans="1:15" x14ac:dyDescent="0.3">
      <c r="A89" s="2">
        <v>42216</v>
      </c>
      <c r="B89" t="s">
        <v>91</v>
      </c>
      <c r="C89" t="s">
        <v>200</v>
      </c>
      <c r="D89" t="s">
        <v>336</v>
      </c>
      <c r="E89" s="4">
        <f t="shared" si="15"/>
        <v>-3.5153659075834676E-2</v>
      </c>
      <c r="F89" s="4">
        <f t="shared" si="16"/>
        <v>5.5226305754618732E-3</v>
      </c>
      <c r="G89" s="4">
        <f t="shared" si="17"/>
        <v>2.6772444068230428E-3</v>
      </c>
      <c r="H89" s="7">
        <f t="shared" si="19"/>
        <v>11.455667039585935</v>
      </c>
      <c r="I89" s="7">
        <f t="shared" si="20"/>
        <v>12.323744901280627</v>
      </c>
      <c r="J89" s="7">
        <f t="shared" si="21"/>
        <v>12.231368228061854</v>
      </c>
      <c r="K89" s="3">
        <f t="shared" si="12"/>
        <v>0.31811771324716692</v>
      </c>
      <c r="L89" s="3">
        <f t="shared" si="13"/>
        <v>0.34222376864564746</v>
      </c>
      <c r="M89" s="3">
        <f t="shared" si="14"/>
        <v>0.33965851810718567</v>
      </c>
      <c r="N89">
        <f t="shared" si="18"/>
        <v>1.6099266040627489</v>
      </c>
      <c r="O89" s="4">
        <f>N89/MAX(N$14:N89)-1</f>
        <v>-2.5219693406491217E-2</v>
      </c>
    </row>
    <row r="90" spans="1:15" x14ac:dyDescent="0.3">
      <c r="A90" s="2">
        <v>42247</v>
      </c>
      <c r="B90" t="s">
        <v>92</v>
      </c>
      <c r="C90" t="s">
        <v>201</v>
      </c>
      <c r="D90" t="s">
        <v>337</v>
      </c>
      <c r="E90" s="4">
        <f t="shared" si="15"/>
        <v>-4.8350137488542666E-2</v>
      </c>
      <c r="F90" s="4">
        <f t="shared" si="16"/>
        <v>1.2348331293959403E-2</v>
      </c>
      <c r="G90" s="4">
        <f t="shared" si="17"/>
        <v>2.8369769017071444E-3</v>
      </c>
      <c r="H90" s="7">
        <f t="shared" si="19"/>
        <v>10.984641724961524</v>
      </c>
      <c r="I90" s="7">
        <f t="shared" si="20"/>
        <v>12.394308950343577</v>
      </c>
      <c r="J90" s="7">
        <f t="shared" si="21"/>
        <v>12.221914855676845</v>
      </c>
      <c r="K90" s="3">
        <f t="shared" si="12"/>
        <v>0.30854985015468372</v>
      </c>
      <c r="L90" s="3">
        <f t="shared" si="13"/>
        <v>0.34814628143120085</v>
      </c>
      <c r="M90" s="3">
        <f t="shared" si="14"/>
        <v>0.34330386841411553</v>
      </c>
      <c r="N90">
        <f t="shared" si="18"/>
        <v>1.5935189737577431</v>
      </c>
      <c r="O90" s="4">
        <f>N90/MAX(N$14:N90)-1</f>
        <v>-3.5154205240027658E-2</v>
      </c>
    </row>
    <row r="91" spans="1:15" x14ac:dyDescent="0.3">
      <c r="A91" s="2">
        <v>42277</v>
      </c>
      <c r="B91" t="s">
        <v>93</v>
      </c>
      <c r="C91" t="s">
        <v>202</v>
      </c>
      <c r="D91" t="s">
        <v>338</v>
      </c>
      <c r="E91" s="4">
        <f t="shared" si="15"/>
        <v>2.2248976643390428E-2</v>
      </c>
      <c r="F91" s="4">
        <f t="shared" si="16"/>
        <v>1.9542170675671988E-2</v>
      </c>
      <c r="G91" s="4">
        <f t="shared" si="17"/>
        <v>6.5584682550559048E-3</v>
      </c>
      <c r="H91" s="7">
        <f t="shared" si="19"/>
        <v>11.346162376337157</v>
      </c>
      <c r="I91" s="7">
        <f t="shared" si="20"/>
        <v>12.545084649584911</v>
      </c>
      <c r="J91" s="7">
        <f t="shared" si="21"/>
        <v>12.257326816834347</v>
      </c>
      <c r="K91" s="3">
        <f t="shared" si="12"/>
        <v>0.31387579564527524</v>
      </c>
      <c r="L91" s="3">
        <f t="shared" si="13"/>
        <v>0.34704231221278847</v>
      </c>
      <c r="M91" s="3">
        <f t="shared" si="14"/>
        <v>0.33908189214193613</v>
      </c>
      <c r="N91">
        <f t="shared" si="18"/>
        <v>1.618887795794588</v>
      </c>
      <c r="O91" s="4">
        <f>N91/MAX(N$14:N91)-1</f>
        <v>-1.9793860202815039E-2</v>
      </c>
    </row>
    <row r="92" spans="1:15" x14ac:dyDescent="0.3">
      <c r="A92" s="2">
        <v>42307</v>
      </c>
      <c r="B92" t="s">
        <v>94</v>
      </c>
      <c r="C92" t="s">
        <v>203</v>
      </c>
      <c r="D92" t="s">
        <v>339</v>
      </c>
      <c r="E92" s="4">
        <f t="shared" si="15"/>
        <v>5.7379752202383782E-2</v>
      </c>
      <c r="F92" s="4">
        <f t="shared" si="16"/>
        <v>-2.4615607381062166E-3</v>
      </c>
      <c r="G92" s="4">
        <f t="shared" si="17"/>
        <v>-1.0308476290504798E-3</v>
      </c>
      <c r="H92" s="7">
        <f t="shared" si="19"/>
        <v>12.068898569282087</v>
      </c>
      <c r="I92" s="7">
        <f t="shared" si="20"/>
        <v>12.421541131287082</v>
      </c>
      <c r="J92" s="7">
        <f t="shared" si="21"/>
        <v>12.201897521275136</v>
      </c>
      <c r="K92" s="3">
        <f t="shared" si="12"/>
        <v>0.32892149923055392</v>
      </c>
      <c r="L92" s="3">
        <f t="shared" si="13"/>
        <v>0.33853229507255478</v>
      </c>
      <c r="M92" s="3">
        <f t="shared" si="14"/>
        <v>0.33254620569689125</v>
      </c>
      <c r="N92">
        <f t="shared" si="18"/>
        <v>1.6460953225166044</v>
      </c>
      <c r="O92" s="4">
        <f>N92/MAX(N$14:N92)-1</f>
        <v>-3.3202140298715932E-3</v>
      </c>
    </row>
    <row r="93" spans="1:15" x14ac:dyDescent="0.3">
      <c r="A93" s="2">
        <v>42338</v>
      </c>
      <c r="B93" t="s">
        <v>95</v>
      </c>
      <c r="C93" t="s">
        <v>204</v>
      </c>
      <c r="D93" t="s">
        <v>340</v>
      </c>
      <c r="E93" s="4">
        <f t="shared" si="15"/>
        <v>-2.0138115393183331E-2</v>
      </c>
      <c r="F93" s="4">
        <f t="shared" si="16"/>
        <v>-9.5620855144383787E-3</v>
      </c>
      <c r="G93" s="4">
        <f t="shared" si="17"/>
        <v>-2.8815638324799497E-3</v>
      </c>
      <c r="H93" s="7">
        <f t="shared" si="19"/>
        <v>11.812534584722247</v>
      </c>
      <c r="I93" s="7">
        <f t="shared" si="20"/>
        <v>12.234093777684894</v>
      </c>
      <c r="J93" s="7">
        <f t="shared" si="21"/>
        <v>12.133049795198286</v>
      </c>
      <c r="K93" s="3">
        <f t="shared" si="12"/>
        <v>0.32649639759824961</v>
      </c>
      <c r="L93" s="3">
        <f t="shared" si="13"/>
        <v>0.33814822023542884</v>
      </c>
      <c r="M93" s="3">
        <f t="shared" si="14"/>
        <v>0.3353553821663216</v>
      </c>
      <c r="N93">
        <f t="shared" si="18"/>
        <v>1.6282859094343218</v>
      </c>
      <c r="O93" s="4">
        <f>N93/MAX(N$14:N93)-1</f>
        <v>-1.4103478994117902E-2</v>
      </c>
    </row>
    <row r="94" spans="1:15" x14ac:dyDescent="0.3">
      <c r="A94" s="2">
        <v>42368</v>
      </c>
      <c r="B94" t="s">
        <v>96</v>
      </c>
      <c r="C94" t="s">
        <v>205</v>
      </c>
      <c r="D94" t="s">
        <v>341</v>
      </c>
      <c r="E94" s="4">
        <f t="shared" si="15"/>
        <v>-2.6826717591961202E-3</v>
      </c>
      <c r="F94" s="4">
        <f t="shared" si="16"/>
        <v>1.4838833777582439E-2</v>
      </c>
      <c r="G94" s="4">
        <f t="shared" si="17"/>
        <v>5.3990197801339068E-3</v>
      </c>
      <c r="H94" s="7">
        <f t="shared" si="19"/>
        <v>11.800624655027644</v>
      </c>
      <c r="I94" s="7">
        <f t="shared" si="20"/>
        <v>12.362505608861015</v>
      </c>
      <c r="J94" s="7">
        <f t="shared" si="21"/>
        <v>12.170797295425071</v>
      </c>
      <c r="K94" s="3">
        <f t="shared" si="12"/>
        <v>0.32478252277471459</v>
      </c>
      <c r="L94" s="3">
        <f t="shared" si="13"/>
        <v>0.3402468832657769</v>
      </c>
      <c r="M94" s="3">
        <f t="shared" si="14"/>
        <v>0.33497059395950834</v>
      </c>
      <c r="N94">
        <f t="shared" si="18"/>
        <v>1.6379781720663023</v>
      </c>
      <c r="O94" s="4">
        <f>N94/MAX(N$14:N94)-1</f>
        <v>-8.234996097975622E-3</v>
      </c>
    </row>
    <row r="95" spans="1:15" x14ac:dyDescent="0.3">
      <c r="A95" s="2">
        <v>42398</v>
      </c>
      <c r="B95" t="s">
        <v>97</v>
      </c>
      <c r="C95" t="s">
        <v>206</v>
      </c>
      <c r="D95" t="s">
        <v>342</v>
      </c>
      <c r="E95" s="4">
        <f t="shared" si="15"/>
        <v>-3.5834777058448064E-2</v>
      </c>
      <c r="F95" s="4">
        <f t="shared" si="16"/>
        <v>8.6106522975277766E-3</v>
      </c>
      <c r="G95" s="4">
        <f t="shared" si="17"/>
        <v>3.7677584750288595E-3</v>
      </c>
      <c r="H95" s="7">
        <f t="shared" si="19"/>
        <v>11.37320291057309</v>
      </c>
      <c r="I95" s="7">
        <f t="shared" si="20"/>
        <v>12.402382447863536</v>
      </c>
      <c r="J95" s="7">
        <f t="shared" si="21"/>
        <v>12.184171415402538</v>
      </c>
      <c r="K95" s="3">
        <f t="shared" si="12"/>
        <v>0.31627585753992449</v>
      </c>
      <c r="L95" s="3">
        <f t="shared" si="13"/>
        <v>0.34489617173624237</v>
      </c>
      <c r="M95" s="3">
        <f t="shared" si="14"/>
        <v>0.33882797072383319</v>
      </c>
      <c r="N95">
        <f t="shared" si="18"/>
        <v>1.6257806835912494</v>
      </c>
      <c r="O95" s="4">
        <f>N95/MAX(N$14:N95)-1</f>
        <v>-1.562034616634389E-2</v>
      </c>
    </row>
    <row r="96" spans="1:15" x14ac:dyDescent="0.3">
      <c r="A96" s="2">
        <v>42429</v>
      </c>
      <c r="B96" t="s">
        <v>98</v>
      </c>
      <c r="C96" t="s">
        <v>207</v>
      </c>
      <c r="D96" t="s">
        <v>343</v>
      </c>
      <c r="E96" s="4">
        <f t="shared" si="15"/>
        <v>1.6029884622659418E-2</v>
      </c>
      <c r="F96" s="4">
        <f t="shared" si="16"/>
        <v>1.860452629600795E-2</v>
      </c>
      <c r="G96" s="4">
        <f t="shared" si="17"/>
        <v>5.146710265365062E-3</v>
      </c>
      <c r="H96" s="7">
        <f t="shared" si="19"/>
        <v>11.616438800514537</v>
      </c>
      <c r="I96" s="7">
        <f t="shared" si="20"/>
        <v>12.588022502528064</v>
      </c>
      <c r="J96" s="7">
        <f t="shared" si="21"/>
        <v>12.217701332388661</v>
      </c>
      <c r="K96" s="3">
        <f t="shared" si="12"/>
        <v>0.31893874388486021</v>
      </c>
      <c r="L96" s="3">
        <f t="shared" si="13"/>
        <v>0.34561436201711182</v>
      </c>
      <c r="M96" s="3">
        <f t="shared" si="14"/>
        <v>0.33544689409802791</v>
      </c>
      <c r="N96">
        <f t="shared" si="18"/>
        <v>1.6472903225992594</v>
      </c>
      <c r="O96" s="4">
        <f>N96/MAX(N$14:N96)-1</f>
        <v>-2.5966639350969434E-3</v>
      </c>
    </row>
    <row r="97" spans="1:15" x14ac:dyDescent="0.3">
      <c r="A97" s="2">
        <v>42460</v>
      </c>
      <c r="B97" t="s">
        <v>99</v>
      </c>
      <c r="C97" t="s">
        <v>208</v>
      </c>
      <c r="D97" t="s">
        <v>344</v>
      </c>
      <c r="E97" s="4">
        <f t="shared" si="15"/>
        <v>4.3142365151021655E-2</v>
      </c>
      <c r="F97" s="4">
        <f t="shared" si="16"/>
        <v>7.1161246112483312E-4</v>
      </c>
      <c r="G97" s="4">
        <f t="shared" si="17"/>
        <v>1.3474624394844703E-3</v>
      </c>
      <c r="H97" s="7">
        <f t="shared" si="19"/>
        <v>12.166772852280452</v>
      </c>
      <c r="I97" s="7">
        <f t="shared" si="20"/>
        <v>12.525666384917919</v>
      </c>
      <c r="J97" s="7">
        <f t="shared" si="21"/>
        <v>12.199586525920965</v>
      </c>
      <c r="K97" s="3">
        <f t="shared" si="12"/>
        <v>0.32979411134542463</v>
      </c>
      <c r="L97" s="3">
        <f t="shared" si="13"/>
        <v>0.3395223256468537</v>
      </c>
      <c r="M97" s="3">
        <f t="shared" si="14"/>
        <v>0.33068356300772173</v>
      </c>
      <c r="N97">
        <f t="shared" si="18"/>
        <v>1.6711063804380502</v>
      </c>
      <c r="O97" s="4">
        <f>N97/MAX(N$14:N97)-1</f>
        <v>0</v>
      </c>
    </row>
    <row r="98" spans="1:15" x14ac:dyDescent="0.3">
      <c r="A98" s="2">
        <v>42489</v>
      </c>
      <c r="B98" t="s">
        <v>100</v>
      </c>
      <c r="C98" t="s">
        <v>209</v>
      </c>
      <c r="D98" t="s">
        <v>345</v>
      </c>
      <c r="E98" s="4">
        <f t="shared" si="15"/>
        <v>-1.5169090746854907E-3</v>
      </c>
      <c r="F98" s="4">
        <f t="shared" si="16"/>
        <v>1.2817473904149779E-3</v>
      </c>
      <c r="G98" s="4">
        <f t="shared" si="17"/>
        <v>8.3622487720957928E-4</v>
      </c>
      <c r="H98" s="7">
        <f t="shared" si="19"/>
        <v>12.175361562131771</v>
      </c>
      <c r="I98" s="7">
        <f t="shared" si="20"/>
        <v>12.489512266388223</v>
      </c>
      <c r="J98" s="7">
        <f t="shared" si="21"/>
        <v>12.18469178110041</v>
      </c>
      <c r="K98" s="3">
        <f t="shared" si="12"/>
        <v>0.33040719369981175</v>
      </c>
      <c r="L98" s="3">
        <f t="shared" si="13"/>
        <v>0.33893241507106275</v>
      </c>
      <c r="M98" s="3">
        <f t="shared" si="14"/>
        <v>0.33066039122912544</v>
      </c>
      <c r="N98">
        <f t="shared" si="18"/>
        <v>1.6714597191652463</v>
      </c>
      <c r="O98" s="4">
        <f>N98/MAX(N$14:N98)-1</f>
        <v>0</v>
      </c>
    </row>
    <row r="99" spans="1:15" x14ac:dyDescent="0.3">
      <c r="A99" s="2">
        <v>42521</v>
      </c>
      <c r="B99" t="s">
        <v>101</v>
      </c>
      <c r="C99" t="s">
        <v>210</v>
      </c>
      <c r="D99" t="s">
        <v>345</v>
      </c>
      <c r="E99" s="4">
        <f t="shared" si="15"/>
        <v>-6.5683646112600913E-3</v>
      </c>
      <c r="F99" s="4">
        <f t="shared" si="16"/>
        <v>9.1185676834459883E-4</v>
      </c>
      <c r="G99" s="4">
        <f t="shared" si="17"/>
        <v>0</v>
      </c>
      <c r="H99" s="7">
        <f t="shared" si="19"/>
        <v>12.158725601980407</v>
      </c>
      <c r="I99" s="7">
        <f t="shared" si="20"/>
        <v>12.429331981790993</v>
      </c>
      <c r="J99" s="7">
        <f t="shared" si="21"/>
        <v>12.155565183683951</v>
      </c>
      <c r="K99" s="3">
        <f t="shared" si="12"/>
        <v>0.33090709859860806</v>
      </c>
      <c r="L99" s="3">
        <f t="shared" si="13"/>
        <v>0.33827181550535435</v>
      </c>
      <c r="M99" s="3">
        <f t="shared" si="14"/>
        <v>0.33082108589603765</v>
      </c>
      <c r="N99">
        <f t="shared" si="18"/>
        <v>1.6683488366095058</v>
      </c>
      <c r="O99" s="4">
        <f>N99/MAX(N$14:N99)-1</f>
        <v>-1.8611771017096324E-3</v>
      </c>
    </row>
    <row r="100" spans="1:15" x14ac:dyDescent="0.3">
      <c r="A100" s="2">
        <v>42551</v>
      </c>
      <c r="B100" t="s">
        <v>102</v>
      </c>
      <c r="C100" t="s">
        <v>211</v>
      </c>
      <c r="D100" t="s">
        <v>346</v>
      </c>
      <c r="E100" s="4">
        <f t="shared" si="15"/>
        <v>3.1934511761795292E-3</v>
      </c>
      <c r="F100" s="4">
        <f t="shared" si="16"/>
        <v>3.0011300226880477E-2</v>
      </c>
      <c r="G100" s="4">
        <f t="shared" si="17"/>
        <v>8.432091888673332E-3</v>
      </c>
      <c r="H100" s="7">
        <f t="shared" si="19"/>
        <v>12.245584829924642</v>
      </c>
      <c r="I100" s="7">
        <f t="shared" si="20"/>
        <v>12.73520031046724</v>
      </c>
      <c r="J100" s="7">
        <f t="shared" si="21"/>
        <v>12.232990181152328</v>
      </c>
      <c r="K100" s="3">
        <f t="shared" si="12"/>
        <v>0.32906053535598401</v>
      </c>
      <c r="L100" s="3">
        <f t="shared" si="13"/>
        <v>0.34221736978925754</v>
      </c>
      <c r="M100" s="3">
        <f t="shared" si="14"/>
        <v>0.32872209485475856</v>
      </c>
      <c r="N100">
        <f t="shared" si="18"/>
        <v>1.6917027614580549</v>
      </c>
      <c r="O100" s="4">
        <f>N100/MAX(N$14:N100)-1</f>
        <v>0</v>
      </c>
    </row>
    <row r="101" spans="1:15" x14ac:dyDescent="0.3">
      <c r="A101" s="2">
        <v>42580</v>
      </c>
      <c r="B101" t="s">
        <v>103</v>
      </c>
      <c r="C101" t="s">
        <v>212</v>
      </c>
      <c r="D101" t="s">
        <v>347</v>
      </c>
      <c r="E101" s="4">
        <f t="shared" si="15"/>
        <v>3.2012195121951192E-2</v>
      </c>
      <c r="F101" s="4">
        <f t="shared" si="16"/>
        <v>8.0368760790250349E-3</v>
      </c>
      <c r="G101" s="4">
        <f t="shared" si="17"/>
        <v>2.228486533846219E-3</v>
      </c>
      <c r="H101" s="7">
        <f t="shared" si="19"/>
        <v>12.651785045051641</v>
      </c>
      <c r="I101" s="7">
        <f t="shared" si="20"/>
        <v>12.732346309799473</v>
      </c>
      <c r="J101" s="7">
        <f t="shared" si="21"/>
        <v>12.226642049201333</v>
      </c>
      <c r="K101" s="3">
        <f t="shared" si="12"/>
        <v>0.33638726088223569</v>
      </c>
      <c r="L101" s="3">
        <f t="shared" si="13"/>
        <v>0.33852923397814527</v>
      </c>
      <c r="M101" s="3">
        <f t="shared" si="14"/>
        <v>0.32508350513961909</v>
      </c>
      <c r="N101">
        <f t="shared" si="18"/>
        <v>1.7154151246285625</v>
      </c>
      <c r="O101" s="4">
        <f>N101/MAX(N$14:N101)-1</f>
        <v>0</v>
      </c>
    </row>
    <row r="102" spans="1:15" x14ac:dyDescent="0.3">
      <c r="A102" s="2">
        <v>42613</v>
      </c>
      <c r="B102" t="s">
        <v>104</v>
      </c>
      <c r="C102" t="s">
        <v>213</v>
      </c>
      <c r="D102" t="s">
        <v>348</v>
      </c>
      <c r="E102" s="4">
        <f t="shared" si="15"/>
        <v>1.9115474845772917E-2</v>
      </c>
      <c r="F102" s="4">
        <f t="shared" si="16"/>
        <v>-8.0149838012959496E-3</v>
      </c>
      <c r="G102" s="4">
        <f t="shared" si="17"/>
        <v>-1.6153860772725182E-3</v>
      </c>
      <c r="H102" s="7">
        <f t="shared" si="19"/>
        <v>12.837676654408913</v>
      </c>
      <c r="I102" s="7">
        <f t="shared" si="20"/>
        <v>12.524027542925776</v>
      </c>
      <c r="J102" s="7">
        <f t="shared" si="21"/>
        <v>12.173872839285778</v>
      </c>
      <c r="K102" s="3">
        <f t="shared" si="12"/>
        <v>0.34201356867070981</v>
      </c>
      <c r="L102" s="3">
        <f t="shared" si="13"/>
        <v>0.33365751992322062</v>
      </c>
      <c r="M102" s="3">
        <f t="shared" si="14"/>
        <v>0.32432891140606956</v>
      </c>
      <c r="N102">
        <f t="shared" si="18"/>
        <v>1.7208903189143379</v>
      </c>
      <c r="O102" s="4">
        <f>N102/MAX(N$14:N102)-1</f>
        <v>0</v>
      </c>
    </row>
    <row r="103" spans="1:15" x14ac:dyDescent="0.3">
      <c r="A103" s="2">
        <v>42643</v>
      </c>
      <c r="B103" t="s">
        <v>105</v>
      </c>
      <c r="C103" t="s">
        <v>214</v>
      </c>
      <c r="D103" t="s">
        <v>349</v>
      </c>
      <c r="E103" s="4">
        <f t="shared" si="15"/>
        <v>3.154574132492094E-3</v>
      </c>
      <c r="F103" s="4">
        <f t="shared" si="16"/>
        <v>7.4418683767372151E-3</v>
      </c>
      <c r="G103" s="4">
        <f t="shared" si="17"/>
        <v>2.4269996573647035E-3</v>
      </c>
      <c r="H103" s="7">
        <f t="shared" si="19"/>
        <v>12.748075561166871</v>
      </c>
      <c r="I103" s="7">
        <f t="shared" si="20"/>
        <v>12.531740157955152</v>
      </c>
      <c r="J103" s="7">
        <f t="shared" si="21"/>
        <v>12.174864403216691</v>
      </c>
      <c r="K103" s="3">
        <f t="shared" si="12"/>
        <v>0.34036001694655149</v>
      </c>
      <c r="L103" s="3">
        <f t="shared" si="13"/>
        <v>0.33458409248250326</v>
      </c>
      <c r="M103" s="3">
        <f t="shared" si="14"/>
        <v>0.32505589057094525</v>
      </c>
      <c r="N103">
        <f t="shared" si="18"/>
        <v>1.7283746234849553</v>
      </c>
      <c r="O103" s="4">
        <f>N103/MAX(N$14:N103)-1</f>
        <v>0</v>
      </c>
    </row>
    <row r="104" spans="1:15" x14ac:dyDescent="0.3">
      <c r="A104" s="2">
        <v>42674</v>
      </c>
      <c r="B104" t="s">
        <v>106</v>
      </c>
      <c r="C104" t="s">
        <v>215</v>
      </c>
      <c r="D104" t="s">
        <v>350</v>
      </c>
      <c r="E104" s="4">
        <f t="shared" si="15"/>
        <v>-5.6518782933877576E-3</v>
      </c>
      <c r="F104" s="4">
        <f t="shared" si="16"/>
        <v>-2.2422395380446214E-2</v>
      </c>
      <c r="G104" s="4">
        <f t="shared" si="17"/>
        <v>-5.1555690589899505E-3</v>
      </c>
      <c r="H104" s="7">
        <f t="shared" si="19"/>
        <v>12.56805059754724</v>
      </c>
      <c r="I104" s="7">
        <f t="shared" si="20"/>
        <v>12.180379994688876</v>
      </c>
      <c r="J104" s="7">
        <f t="shared" si="21"/>
        <v>12.087957323604339</v>
      </c>
      <c r="K104" s="3">
        <f t="shared" si="12"/>
        <v>0.3411857488921356</v>
      </c>
      <c r="L104" s="3">
        <f t="shared" si="13"/>
        <v>0.33066162791306269</v>
      </c>
      <c r="M104" s="3">
        <f t="shared" si="14"/>
        <v>0.32815262319480171</v>
      </c>
      <c r="N104">
        <f t="shared" si="18"/>
        <v>1.7091867298773369</v>
      </c>
      <c r="O104" s="4">
        <f>N104/MAX(N$14:N104)-1</f>
        <v>-1.1101698293237816E-2</v>
      </c>
    </row>
    <row r="105" spans="1:15" x14ac:dyDescent="0.3">
      <c r="A105" s="2">
        <v>42704</v>
      </c>
      <c r="B105" t="s">
        <v>107</v>
      </c>
      <c r="C105" t="s">
        <v>216</v>
      </c>
      <c r="D105" t="s">
        <v>351</v>
      </c>
      <c r="E105" s="4">
        <f t="shared" si="15"/>
        <v>-4.7865293388605901E-3</v>
      </c>
      <c r="F105" s="4">
        <f t="shared" si="16"/>
        <v>-3.4033696900610533E-2</v>
      </c>
      <c r="G105" s="4">
        <f t="shared" si="17"/>
        <v>-7.654132468028263E-3</v>
      </c>
      <c r="H105" s="7">
        <f t="shared" si="19"/>
        <v>12.465592802368231</v>
      </c>
      <c r="I105" s="7">
        <f t="shared" si="20"/>
        <v>11.717024343648145</v>
      </c>
      <c r="J105" s="7">
        <f t="shared" si="21"/>
        <v>11.975553188251428</v>
      </c>
      <c r="K105" s="3">
        <f t="shared" si="12"/>
        <v>0.34475175837518374</v>
      </c>
      <c r="L105" s="3">
        <f t="shared" si="13"/>
        <v>0.3240491494820934</v>
      </c>
      <c r="M105" s="3">
        <f t="shared" si="14"/>
        <v>0.33119909214272275</v>
      </c>
      <c r="N105">
        <f t="shared" si="18"/>
        <v>1.682867891741735</v>
      </c>
      <c r="O105" s="4">
        <f>N105/MAX(N$14:N105)-1</f>
        <v>-2.6329206136725292E-2</v>
      </c>
    </row>
    <row r="106" spans="1:15" x14ac:dyDescent="0.3">
      <c r="A106" s="2">
        <v>42733</v>
      </c>
      <c r="B106" t="s">
        <v>108</v>
      </c>
      <c r="C106" t="s">
        <v>217</v>
      </c>
      <c r="D106" t="s">
        <v>352</v>
      </c>
      <c r="E106" s="4">
        <f t="shared" si="15"/>
        <v>3.6028685532700555E-2</v>
      </c>
      <c r="F106" s="4">
        <f t="shared" si="16"/>
        <v>7.0179516521242657E-3</v>
      </c>
      <c r="G106" s="4">
        <f t="shared" si="17"/>
        <v>4.2605166477525103E-3</v>
      </c>
      <c r="H106" s="7">
        <f t="shared" si="19"/>
        <v>12.853755006509283</v>
      </c>
      <c r="I106" s="7">
        <f t="shared" si="20"/>
        <v>11.774505709638001</v>
      </c>
      <c r="J106" s="7">
        <f t="shared" si="21"/>
        <v>12.011358272201768</v>
      </c>
      <c r="K106" s="3">
        <f t="shared" si="12"/>
        <v>0.35081573884806549</v>
      </c>
      <c r="L106" s="3">
        <f t="shared" si="13"/>
        <v>0.3213599386331541</v>
      </c>
      <c r="M106" s="3">
        <f t="shared" si="14"/>
        <v>0.3278243225187803</v>
      </c>
      <c r="N106">
        <f t="shared" si="18"/>
        <v>1.7099724871347179</v>
      </c>
      <c r="O106" s="4">
        <f>N106/MAX(N$14:N106)-1</f>
        <v>-1.0647076218425866E-2</v>
      </c>
    </row>
    <row r="107" spans="1:15" x14ac:dyDescent="0.3">
      <c r="A107" s="2">
        <v>42766</v>
      </c>
      <c r="B107" t="s">
        <v>109</v>
      </c>
      <c r="C107" t="s">
        <v>218</v>
      </c>
      <c r="D107" t="s">
        <v>353</v>
      </c>
      <c r="E107" s="4">
        <f t="shared" si="15"/>
        <v>3.4402719058277409E-2</v>
      </c>
      <c r="F107" s="4">
        <f t="shared" si="16"/>
        <v>-6.6316882840173896E-3</v>
      </c>
      <c r="G107" s="4">
        <f t="shared" si="17"/>
        <v>-1.2449603049191627E-4</v>
      </c>
      <c r="H107" s="7">
        <f t="shared" si="19"/>
        <v>13.192584880634996</v>
      </c>
      <c r="I107" s="7">
        <f t="shared" si="20"/>
        <v>11.679851718867292</v>
      </c>
      <c r="J107" s="7">
        <f t="shared" si="21"/>
        <v>11.995861794124909</v>
      </c>
      <c r="K107" s="3">
        <f t="shared" si="12"/>
        <v>0.3578300451998993</v>
      </c>
      <c r="L107" s="3">
        <f t="shared" si="13"/>
        <v>0.31679931615412421</v>
      </c>
      <c r="M107" s="3">
        <f t="shared" si="14"/>
        <v>0.32537063864597643</v>
      </c>
      <c r="N107">
        <f t="shared" si="18"/>
        <v>1.7268961592886274</v>
      </c>
      <c r="O107" s="4">
        <f>N107/MAX(N$14:N107)-1</f>
        <v>-8.5540725733801448E-4</v>
      </c>
    </row>
    <row r="108" spans="1:15" x14ac:dyDescent="0.3">
      <c r="A108" s="2">
        <v>42794</v>
      </c>
      <c r="B108" t="s">
        <v>110</v>
      </c>
      <c r="C108" t="s">
        <v>219</v>
      </c>
      <c r="D108" t="s">
        <v>354</v>
      </c>
      <c r="E108" s="4">
        <f t="shared" si="15"/>
        <v>5.329379708286508E-3</v>
      </c>
      <c r="F108" s="4">
        <f t="shared" si="16"/>
        <v>1.8857132643395058E-3</v>
      </c>
      <c r="G108" s="4">
        <f t="shared" si="17"/>
        <v>1.7048502030496682E-3</v>
      </c>
      <c r="H108" s="7">
        <f t="shared" si="19"/>
        <v>13.081869235043152</v>
      </c>
      <c r="I108" s="7">
        <f t="shared" si="20"/>
        <v>11.700558618020633</v>
      </c>
      <c r="J108" s="7">
        <f t="shared" si="21"/>
        <v>12.006224859763201</v>
      </c>
      <c r="K108" s="3">
        <f t="shared" si="12"/>
        <v>0.355595224896125</v>
      </c>
      <c r="L108" s="3">
        <f t="shared" si="13"/>
        <v>0.3180480326190645</v>
      </c>
      <c r="M108" s="3">
        <f t="shared" si="14"/>
        <v>0.32635674248481045</v>
      </c>
      <c r="N108">
        <f t="shared" si="18"/>
        <v>1.732178929872187</v>
      </c>
      <c r="O108" s="4">
        <f>N108/MAX(N$14:N108)-1</f>
        <v>0</v>
      </c>
    </row>
    <row r="109" spans="1:15" x14ac:dyDescent="0.3">
      <c r="A109" s="2">
        <v>42825</v>
      </c>
      <c r="B109" t="s">
        <v>111</v>
      </c>
      <c r="C109" t="s">
        <v>220</v>
      </c>
      <c r="D109" t="s">
        <v>355</v>
      </c>
      <c r="E109" s="4">
        <f t="shared" si="15"/>
        <v>4.2209733349276579E-2</v>
      </c>
      <c r="F109" s="4">
        <f t="shared" si="16"/>
        <v>5.173721065072634E-4</v>
      </c>
      <c r="G109" s="4">
        <f t="shared" si="17"/>
        <v>2.361692769586643E-3</v>
      </c>
      <c r="H109" s="7">
        <f t="shared" si="19"/>
        <v>13.459339320784565</v>
      </c>
      <c r="I109" s="7">
        <f t="shared" si="20"/>
        <v>11.721739551587284</v>
      </c>
      <c r="J109" s="7">
        <f t="shared" si="21"/>
        <v>12.027952067556422</v>
      </c>
      <c r="K109" s="3">
        <f t="shared" si="12"/>
        <v>0.36172238246445748</v>
      </c>
      <c r="L109" s="3">
        <f t="shared" si="13"/>
        <v>0.3150240480734724</v>
      </c>
      <c r="M109" s="3">
        <f t="shared" si="14"/>
        <v>0.32325356946207018</v>
      </c>
      <c r="N109">
        <f t="shared" si="18"/>
        <v>1.759798320526029</v>
      </c>
      <c r="O109" s="4">
        <f>N109/MAX(N$14:N109)-1</f>
        <v>0</v>
      </c>
    </row>
    <row r="110" spans="1:15" x14ac:dyDescent="0.3">
      <c r="A110" s="2">
        <v>42853</v>
      </c>
      <c r="B110" t="s">
        <v>112</v>
      </c>
      <c r="C110" t="s">
        <v>221</v>
      </c>
      <c r="D110" t="s">
        <v>356</v>
      </c>
      <c r="E110" s="4">
        <f t="shared" si="15"/>
        <v>2.2831574116567221E-2</v>
      </c>
      <c r="F110" s="4">
        <f t="shared" si="16"/>
        <v>1.159027486783426E-4</v>
      </c>
      <c r="G110" s="4">
        <f t="shared" si="17"/>
        <v>6.3911173008501798E-4</v>
      </c>
      <c r="H110" s="7">
        <f t="shared" si="19"/>
        <v>13.596241351032395</v>
      </c>
      <c r="I110" s="7">
        <f t="shared" si="20"/>
        <v>11.738410643928244</v>
      </c>
      <c r="J110" s="7">
        <f t="shared" si="21"/>
        <v>12.028002641791467</v>
      </c>
      <c r="K110" s="3">
        <f t="shared" si="12"/>
        <v>0.36389923262193291</v>
      </c>
      <c r="L110" s="3">
        <f t="shared" si="13"/>
        <v>0.31417496315643623</v>
      </c>
      <c r="M110" s="3">
        <f t="shared" si="14"/>
        <v>0.32192580422163086</v>
      </c>
      <c r="N110">
        <f t="shared" si="18"/>
        <v>1.7747597715750407</v>
      </c>
      <c r="O110" s="4">
        <f>N110/MAX(N$14:N110)-1</f>
        <v>0</v>
      </c>
    </row>
    <row r="111" spans="1:15" x14ac:dyDescent="0.3">
      <c r="A111" s="2">
        <v>42886</v>
      </c>
      <c r="B111" t="s">
        <v>113</v>
      </c>
      <c r="C111" t="s">
        <v>222</v>
      </c>
      <c r="D111" t="s">
        <v>357</v>
      </c>
      <c r="E111" s="4">
        <f t="shared" si="15"/>
        <v>6.33015516919051E-2</v>
      </c>
      <c r="F111" s="4">
        <f t="shared" si="16"/>
        <v>1.1588931678789827E-3</v>
      </c>
      <c r="G111" s="4">
        <f t="shared" si="17"/>
        <v>1.5538608198284454E-3</v>
      </c>
      <c r="H111" s="7">
        <f t="shared" si="19"/>
        <v>14.249517963034451</v>
      </c>
      <c r="I111" s="7">
        <f t="shared" si="20"/>
        <v>11.768490541130607</v>
      </c>
      <c r="J111" s="7">
        <f t="shared" si="21"/>
        <v>12.039247631559574</v>
      </c>
      <c r="K111" s="3">
        <f t="shared" si="12"/>
        <v>0.37442315631521106</v>
      </c>
      <c r="L111" s="3">
        <f t="shared" si="13"/>
        <v>0.30923118837470354</v>
      </c>
      <c r="M111" s="3">
        <f t="shared" si="14"/>
        <v>0.31634565531008529</v>
      </c>
      <c r="N111">
        <f t="shared" si="18"/>
        <v>1.8171760140099598</v>
      </c>
      <c r="O111" s="4">
        <f>N111/MAX(N$14:N111)-1</f>
        <v>0</v>
      </c>
    </row>
    <row r="112" spans="1:15" x14ac:dyDescent="0.3">
      <c r="A112" s="2">
        <v>42916</v>
      </c>
      <c r="B112" t="s">
        <v>114</v>
      </c>
      <c r="C112" t="s">
        <v>223</v>
      </c>
      <c r="D112" t="s">
        <v>358</v>
      </c>
      <c r="E112" s="4">
        <f t="shared" si="15"/>
        <v>2.4931429777058867E-2</v>
      </c>
      <c r="F112" s="4">
        <f t="shared" si="16"/>
        <v>8.548074012073581E-4</v>
      </c>
      <c r="G112" s="4">
        <f t="shared" si="17"/>
        <v>7.6144789316945349E-5</v>
      </c>
      <c r="H112" s="7">
        <f t="shared" si="19"/>
        <v>14.318731074163765</v>
      </c>
      <c r="I112" s="7">
        <f t="shared" si="20"/>
        <v>11.794778705824406</v>
      </c>
      <c r="J112" s="7">
        <f t="shared" si="21"/>
        <v>12.031164959231305</v>
      </c>
      <c r="K112" s="3">
        <f t="shared" si="12"/>
        <v>0.37537955617803642</v>
      </c>
      <c r="L112" s="3">
        <f t="shared" si="13"/>
        <v>0.3092116733583597</v>
      </c>
      <c r="M112" s="3">
        <f t="shared" si="14"/>
        <v>0.31540877046360388</v>
      </c>
      <c r="N112">
        <f t="shared" si="18"/>
        <v>1.8346632908475473</v>
      </c>
      <c r="O112" s="4">
        <f>N112/MAX(N$14:N112)-1</f>
        <v>0</v>
      </c>
    </row>
    <row r="113" spans="1:15" x14ac:dyDescent="0.3">
      <c r="A113" s="2">
        <v>42947</v>
      </c>
      <c r="B113" t="s">
        <v>115</v>
      </c>
      <c r="C113" t="s">
        <v>224</v>
      </c>
      <c r="D113" t="s">
        <v>359</v>
      </c>
      <c r="E113" s="4">
        <f t="shared" si="15"/>
        <v>7.7881085531958938E-3</v>
      </c>
      <c r="F113" s="4">
        <f t="shared" si="16"/>
        <v>1.6903613814700513E-4</v>
      </c>
      <c r="G113" s="4">
        <f t="shared" si="17"/>
        <v>4.1876445451172195E-4</v>
      </c>
      <c r="H113" s="7">
        <f t="shared" si="19"/>
        <v>14.121051513949206</v>
      </c>
      <c r="I113" s="7">
        <f t="shared" si="20"/>
        <v>11.840842389847532</v>
      </c>
      <c r="J113" s="7">
        <f t="shared" si="21"/>
        <v>12.035564845330542</v>
      </c>
      <c r="K113" s="3">
        <f t="shared" si="12"/>
        <v>0.3716314716513387</v>
      </c>
      <c r="L113" s="3">
        <f t="shared" si="13"/>
        <v>0.31162195524771746</v>
      </c>
      <c r="M113" s="3">
        <f t="shared" si="14"/>
        <v>0.31674657310094384</v>
      </c>
      <c r="N113">
        <f t="shared" si="18"/>
        <v>1.8403651430300869</v>
      </c>
      <c r="O113" s="4">
        <f>N113/MAX(N$14:N113)-1</f>
        <v>0</v>
      </c>
    </row>
    <row r="114" spans="1:15" x14ac:dyDescent="0.3">
      <c r="A114" s="2">
        <v>42978</v>
      </c>
      <c r="B114" t="s">
        <v>116</v>
      </c>
      <c r="C114" t="s">
        <v>225</v>
      </c>
      <c r="D114" t="s">
        <v>360</v>
      </c>
      <c r="E114" s="4">
        <f t="shared" si="15"/>
        <v>-2.0664533260706719E-2</v>
      </c>
      <c r="F114" s="4">
        <f t="shared" si="16"/>
        <v>-3.380151395201425E-4</v>
      </c>
      <c r="G114" s="4">
        <f t="shared" si="17"/>
        <v>9.3231222946288383E-4</v>
      </c>
      <c r="H114" s="7">
        <f t="shared" si="19"/>
        <v>13.558820985437913</v>
      </c>
      <c r="I114" s="7">
        <f t="shared" si="20"/>
        <v>11.888346280672376</v>
      </c>
      <c r="J114" s="7">
        <f t="shared" si="21"/>
        <v>12.047955618629871</v>
      </c>
      <c r="K114" s="3">
        <f t="shared" si="12"/>
        <v>0.3616155900360073</v>
      </c>
      <c r="L114" s="3">
        <f t="shared" si="13"/>
        <v>0.31706380366366843</v>
      </c>
      <c r="M114" s="3">
        <f t="shared" si="14"/>
        <v>0.32132060630032422</v>
      </c>
      <c r="N114">
        <f t="shared" si="18"/>
        <v>1.8265815127080409</v>
      </c>
      <c r="O114" s="4">
        <f>N114/MAX(N$14:N114)-1</f>
        <v>-7.489617141602567E-3</v>
      </c>
    </row>
    <row r="115" spans="1:15" x14ac:dyDescent="0.3">
      <c r="A115" s="2">
        <v>43007</v>
      </c>
      <c r="B115" t="s">
        <v>117</v>
      </c>
      <c r="C115" t="s">
        <v>226</v>
      </c>
      <c r="D115" t="s">
        <v>346</v>
      </c>
      <c r="E115" s="4">
        <f t="shared" si="15"/>
        <v>2.920012514339354E-2</v>
      </c>
      <c r="F115" s="4">
        <f t="shared" si="16"/>
        <v>-8.6134023829226303E-3</v>
      </c>
      <c r="G115" s="4">
        <f t="shared" si="17"/>
        <v>-1.9864465417771537E-3</v>
      </c>
      <c r="H115" s="7">
        <f t="shared" si="19"/>
        <v>13.721812321494939</v>
      </c>
      <c r="I115" s="7">
        <f t="shared" si="20"/>
        <v>11.829750036456023</v>
      </c>
      <c r="J115" s="7">
        <f t="shared" si="21"/>
        <v>12.022645681639753</v>
      </c>
      <c r="K115" s="3">
        <f t="shared" si="12"/>
        <v>0.36519232307003552</v>
      </c>
      <c r="L115" s="3">
        <f t="shared" si="13"/>
        <v>0.31483697604461552</v>
      </c>
      <c r="M115" s="3">
        <f t="shared" si="14"/>
        <v>0.3199707008853489</v>
      </c>
      <c r="N115">
        <f t="shared" si="18"/>
        <v>1.8397145171638516</v>
      </c>
      <c r="O115" s="4">
        <f>N115/MAX(N$14:N115)-1</f>
        <v>-3.5353085701461673E-4</v>
      </c>
    </row>
    <row r="116" spans="1:15" x14ac:dyDescent="0.3">
      <c r="A116" s="2">
        <v>43039</v>
      </c>
      <c r="B116" t="s">
        <v>118</v>
      </c>
      <c r="C116" t="s">
        <v>227</v>
      </c>
      <c r="D116" t="s">
        <v>361</v>
      </c>
      <c r="E116" s="4">
        <f t="shared" si="15"/>
        <v>5.4480359374472265E-2</v>
      </c>
      <c r="F116" s="4">
        <f t="shared" si="16"/>
        <v>-1.2404074855270841E-2</v>
      </c>
      <c r="G116" s="4">
        <f t="shared" si="17"/>
        <v>-6.7806940687973327E-3</v>
      </c>
      <c r="H116" s="7">
        <f t="shared" si="19"/>
        <v>14.197157884860399</v>
      </c>
      <c r="I116" s="7">
        <f t="shared" si="20"/>
        <v>11.741691902225552</v>
      </c>
      <c r="J116" s="7">
        <f t="shared" si="21"/>
        <v>11.944132040296667</v>
      </c>
      <c r="K116" s="3">
        <f t="shared" si="12"/>
        <v>0.3747634742574143</v>
      </c>
      <c r="L116" s="3">
        <f t="shared" si="13"/>
        <v>0.30994634888371991</v>
      </c>
      <c r="M116" s="3">
        <f t="shared" si="14"/>
        <v>0.3152901768588659</v>
      </c>
      <c r="N116">
        <f t="shared" si="18"/>
        <v>1.8651410719630563</v>
      </c>
      <c r="O116" s="4">
        <f>N116/MAX(N$14:N116)-1</f>
        <v>0</v>
      </c>
    </row>
    <row r="117" spans="1:15" x14ac:dyDescent="0.3">
      <c r="A117" s="2">
        <v>43069</v>
      </c>
      <c r="B117" t="s">
        <v>119</v>
      </c>
      <c r="C117" t="s">
        <v>228</v>
      </c>
      <c r="D117" t="s">
        <v>362</v>
      </c>
      <c r="E117" s="4">
        <f t="shared" si="15"/>
        <v>-2.6617552850736748E-2</v>
      </c>
      <c r="F117" s="4">
        <f t="shared" si="16"/>
        <v>8.6883026001289831E-3</v>
      </c>
      <c r="G117" s="4">
        <f t="shared" si="17"/>
        <v>3.662792927549674E-3</v>
      </c>
      <c r="H117" s="7">
        <f t="shared" si="19"/>
        <v>13.493916016691315</v>
      </c>
      <c r="I117" s="7">
        <f t="shared" si="20"/>
        <v>11.8939165146124</v>
      </c>
      <c r="J117" s="7">
        <f t="shared" si="21"/>
        <v>11.992555359030538</v>
      </c>
      <c r="K117" s="3">
        <f t="shared" si="12"/>
        <v>0.36098919187996292</v>
      </c>
      <c r="L117" s="3">
        <f t="shared" si="13"/>
        <v>0.31818601105763017</v>
      </c>
      <c r="M117" s="3">
        <f t="shared" si="14"/>
        <v>0.32082479706240685</v>
      </c>
      <c r="N117">
        <f t="shared" si="18"/>
        <v>1.8537123523703072</v>
      </c>
      <c r="O117" s="4">
        <f>N117/MAX(N$14:N117)-1</f>
        <v>-6.1275362837409642E-3</v>
      </c>
    </row>
    <row r="118" spans="1:15" x14ac:dyDescent="0.3">
      <c r="A118" s="2">
        <v>43097</v>
      </c>
      <c r="B118" t="s">
        <v>120</v>
      </c>
      <c r="C118" t="s">
        <v>229</v>
      </c>
      <c r="D118" t="s">
        <v>363</v>
      </c>
      <c r="E118" s="4">
        <f t="shared" si="15"/>
        <v>9.7074599361610669E-3</v>
      </c>
      <c r="F118" s="4">
        <f t="shared" si="16"/>
        <v>5.2257430916569092E-4</v>
      </c>
      <c r="G118" s="4">
        <f t="shared" si="17"/>
        <v>-5.6365477578002032E-4</v>
      </c>
      <c r="H118" s="7">
        <f t="shared" si="19"/>
        <v>13.316970087737394</v>
      </c>
      <c r="I118" s="7">
        <f t="shared" si="20"/>
        <v>11.907887057358762</v>
      </c>
      <c r="J118" s="7">
        <f t="shared" si="21"/>
        <v>11.979105747205615</v>
      </c>
      <c r="K118" s="3">
        <f t="shared" si="12"/>
        <v>0.35794493522873971</v>
      </c>
      <c r="L118" s="3">
        <f t="shared" si="13"/>
        <v>0.32007039389405306</v>
      </c>
      <c r="M118" s="3">
        <f t="shared" si="14"/>
        <v>0.32198467087720717</v>
      </c>
      <c r="N118">
        <f t="shared" si="18"/>
        <v>1.8601813070943092</v>
      </c>
      <c r="O118" s="4">
        <f>N118/MAX(N$14:N118)-1</f>
        <v>-2.6591902045923765E-3</v>
      </c>
    </row>
    <row r="119" spans="1:15" x14ac:dyDescent="0.3">
      <c r="A119" s="2">
        <v>43131</v>
      </c>
      <c r="B119" t="s">
        <v>121</v>
      </c>
      <c r="C119" t="s">
        <v>230</v>
      </c>
      <c r="D119" t="s">
        <v>364</v>
      </c>
      <c r="E119" s="4">
        <f t="shared" si="15"/>
        <v>2.7343240776952049E-2</v>
      </c>
      <c r="F119" s="4">
        <f t="shared" si="16"/>
        <v>-2.13333093194773E-2</v>
      </c>
      <c r="G119" s="4">
        <f t="shared" si="17"/>
        <v>-3.1448645031783018E-3</v>
      </c>
      <c r="H119" s="7">
        <f t="shared" si="19"/>
        <v>13.401843757833086</v>
      </c>
      <c r="I119" s="7">
        <f t="shared" si="20"/>
        <v>11.667701681280706</v>
      </c>
      <c r="J119" s="7">
        <f t="shared" si="21"/>
        <v>11.939581061651797</v>
      </c>
      <c r="K119" s="3">
        <f t="shared" si="12"/>
        <v>0.36212267148633864</v>
      </c>
      <c r="L119" s="3">
        <f t="shared" si="13"/>
        <v>0.31526552460078577</v>
      </c>
      <c r="M119" s="3">
        <f t="shared" si="14"/>
        <v>0.32261180391287564</v>
      </c>
      <c r="N119">
        <f t="shared" si="18"/>
        <v>1.8638023651755391</v>
      </c>
      <c r="O119" s="4">
        <f>N119/MAX(N$14:N119)-1</f>
        <v>-7.1775095602188976E-4</v>
      </c>
    </row>
    <row r="120" spans="1:15" x14ac:dyDescent="0.3">
      <c r="A120" s="2">
        <v>43159</v>
      </c>
      <c r="B120" t="s">
        <v>122</v>
      </c>
      <c r="C120" t="s">
        <v>231</v>
      </c>
      <c r="D120" t="s">
        <v>365</v>
      </c>
      <c r="E120" s="4">
        <f t="shared" si="15"/>
        <v>-6.0210005392887678E-2</v>
      </c>
      <c r="F120" s="4">
        <f t="shared" si="16"/>
        <v>5.7693369403191141E-3</v>
      </c>
      <c r="G120" s="4">
        <f t="shared" si="17"/>
        <v>3.9602631225668095E-3</v>
      </c>
      <c r="H120" s="7">
        <f t="shared" si="19"/>
        <v>12.347619390378684</v>
      </c>
      <c r="I120" s="7">
        <f t="shared" si="20"/>
        <v>11.763923890403799</v>
      </c>
      <c r="J120" s="7">
        <f t="shared" si="21"/>
        <v>11.988038064604039</v>
      </c>
      <c r="K120" s="3">
        <f t="shared" si="12"/>
        <v>0.34204328499661929</v>
      </c>
      <c r="L120" s="3">
        <f t="shared" si="13"/>
        <v>0.3258742470681647</v>
      </c>
      <c r="M120" s="3">
        <f t="shared" si="14"/>
        <v>0.3320824679352159</v>
      </c>
      <c r="N120">
        <f t="shared" si="18"/>
        <v>1.8289363870374893</v>
      </c>
      <c r="O120" s="4">
        <f>N120/MAX(N$14:N120)-1</f>
        <v>-1.9411231391447403E-2</v>
      </c>
    </row>
    <row r="121" spans="1:15" x14ac:dyDescent="0.3">
      <c r="A121" s="2">
        <v>43189</v>
      </c>
      <c r="B121" t="s">
        <v>123</v>
      </c>
      <c r="C121" t="s">
        <v>232</v>
      </c>
      <c r="D121" t="s">
        <v>366</v>
      </c>
      <c r="E121" s="4">
        <f t="shared" si="15"/>
        <v>9.1476793248945754E-3</v>
      </c>
      <c r="F121" s="4">
        <f t="shared" si="16"/>
        <v>1.1509080096976376E-2</v>
      </c>
      <c r="G121" s="4">
        <f t="shared" si="17"/>
        <v>4.0592555802825281E-3</v>
      </c>
      <c r="H121" s="7">
        <f t="shared" si="19"/>
        <v>12.278121220877322</v>
      </c>
      <c r="I121" s="7">
        <f t="shared" si="20"/>
        <v>11.924579874676274</v>
      </c>
      <c r="J121" s="7">
        <f t="shared" si="21"/>
        <v>12.035615738651233</v>
      </c>
      <c r="K121" s="3">
        <f t="shared" si="12"/>
        <v>0.33881599073851515</v>
      </c>
      <c r="L121" s="3">
        <f t="shared" si="13"/>
        <v>0.32905998171032141</v>
      </c>
      <c r="M121" s="3">
        <f t="shared" si="14"/>
        <v>0.33212402755116338</v>
      </c>
      <c r="N121">
        <f t="shared" si="18"/>
        <v>1.8439838198006253</v>
      </c>
      <c r="O121" s="4">
        <f>N121/MAX(N$14:N121)-1</f>
        <v>-1.1343513088885593E-2</v>
      </c>
    </row>
    <row r="122" spans="1:15" x14ac:dyDescent="0.3">
      <c r="A122" s="2">
        <v>43220</v>
      </c>
      <c r="B122" t="s">
        <v>124</v>
      </c>
      <c r="C122" t="s">
        <v>233</v>
      </c>
      <c r="D122" t="s">
        <v>367</v>
      </c>
      <c r="E122" s="4">
        <f t="shared" si="15"/>
        <v>2.3648648648648685E-2</v>
      </c>
      <c r="F122" s="4">
        <f t="shared" si="16"/>
        <v>-4.1967023326067165E-3</v>
      </c>
      <c r="G122" s="4">
        <f t="shared" si="17"/>
        <v>1.8073893687455822E-3</v>
      </c>
      <c r="H122" s="7">
        <f t="shared" si="19"/>
        <v>12.421754524931442</v>
      </c>
      <c r="I122" s="7">
        <f t="shared" si="20"/>
        <v>11.888741050419943</v>
      </c>
      <c r="J122" s="7">
        <f t="shared" si="21"/>
        <v>12.054587922069175</v>
      </c>
      <c r="K122" s="3">
        <f t="shared" si="12"/>
        <v>0.3415846556714916</v>
      </c>
      <c r="L122" s="3">
        <f t="shared" si="13"/>
        <v>0.3269273684264532</v>
      </c>
      <c r="M122" s="3">
        <f t="shared" si="14"/>
        <v>0.33148797590205531</v>
      </c>
      <c r="N122">
        <f t="shared" si="18"/>
        <v>1.8573192359676798</v>
      </c>
      <c r="O122" s="4">
        <f>N122/MAX(N$14:N122)-1</f>
        <v>-4.1936967197575559E-3</v>
      </c>
    </row>
    <row r="123" spans="1:15" x14ac:dyDescent="0.3">
      <c r="A123" s="2">
        <v>43251</v>
      </c>
      <c r="B123" t="s">
        <v>125</v>
      </c>
      <c r="C123" t="s">
        <v>234</v>
      </c>
      <c r="D123" t="s">
        <v>368</v>
      </c>
      <c r="E123" s="4">
        <f t="shared" si="15"/>
        <v>-3.5192628173708496E-2</v>
      </c>
      <c r="F123" s="4">
        <f t="shared" si="16"/>
        <v>3.5241010363400438E-3</v>
      </c>
      <c r="G123" s="4">
        <f t="shared" si="17"/>
        <v>2.2124313956359831E-3</v>
      </c>
      <c r="H123" s="7">
        <f t="shared" si="19"/>
        <v>11.845425655776607</v>
      </c>
      <c r="I123" s="7">
        <f t="shared" si="20"/>
        <v>11.949218972732446</v>
      </c>
      <c r="J123" s="7">
        <f t="shared" si="21"/>
        <v>12.077302523408065</v>
      </c>
      <c r="K123" s="3">
        <f t="shared" si="12"/>
        <v>0.33021418117091383</v>
      </c>
      <c r="L123" s="3">
        <f t="shared" si="13"/>
        <v>0.33310762089740198</v>
      </c>
      <c r="M123" s="3">
        <f t="shared" si="14"/>
        <v>0.33667819793168413</v>
      </c>
      <c r="N123">
        <f t="shared" si="18"/>
        <v>1.8384939268345011</v>
      </c>
      <c r="O123" s="4">
        <f>N123/MAX(N$14:N123)-1</f>
        <v>-1.4286932784397521E-2</v>
      </c>
    </row>
    <row r="124" spans="1:15" x14ac:dyDescent="0.3">
      <c r="A124" s="2">
        <v>43280</v>
      </c>
      <c r="B124" t="s">
        <v>126</v>
      </c>
      <c r="C124" t="s">
        <v>235</v>
      </c>
      <c r="D124" t="s">
        <v>369</v>
      </c>
      <c r="E124" s="4">
        <f t="shared" si="15"/>
        <v>-3.4173271015376261E-2</v>
      </c>
      <c r="F124" s="4">
        <f t="shared" si="16"/>
        <v>1.2137174509218251E-2</v>
      </c>
      <c r="G124" s="4">
        <f t="shared" si="17"/>
        <v>4.3014012714714944E-3</v>
      </c>
      <c r="H124" s="7">
        <f t="shared" si="19"/>
        <v>11.403677470399346</v>
      </c>
      <c r="I124" s="7">
        <f t="shared" si="20"/>
        <v>12.110642131681089</v>
      </c>
      <c r="J124" s="7">
        <f t="shared" si="21"/>
        <v>12.124625272562263</v>
      </c>
      <c r="K124" s="3">
        <f t="shared" si="12"/>
        <v>0.31997797663513672</v>
      </c>
      <c r="L124" s="3">
        <f t="shared" si="13"/>
        <v>0.33981483386445249</v>
      </c>
      <c r="M124" s="3">
        <f t="shared" si="14"/>
        <v>0.34020718950041079</v>
      </c>
      <c r="N124">
        <f t="shared" si="18"/>
        <v>1.8278429333578787</v>
      </c>
      <c r="O124" s="4">
        <f>N124/MAX(N$14:N124)-1</f>
        <v>-1.9997489286921022E-2</v>
      </c>
    </row>
    <row r="125" spans="1:15" x14ac:dyDescent="0.3">
      <c r="A125" s="2">
        <v>43312</v>
      </c>
      <c r="B125" t="s">
        <v>127</v>
      </c>
      <c r="C125" t="s">
        <v>236</v>
      </c>
      <c r="D125" t="s">
        <v>370</v>
      </c>
      <c r="E125" s="4">
        <f t="shared" si="15"/>
        <v>-5.9964231861696637E-3</v>
      </c>
      <c r="F125" s="4">
        <f t="shared" si="16"/>
        <v>2.8168258396823465E-3</v>
      </c>
      <c r="G125" s="4">
        <f t="shared" si="17"/>
        <v>1.7830020471505392E-3</v>
      </c>
      <c r="H125" s="7">
        <f t="shared" si="19"/>
        <v>11.356781158671899</v>
      </c>
      <c r="I125" s="7">
        <f t="shared" si="20"/>
        <v>12.149876756674548</v>
      </c>
      <c r="J125" s="7">
        <f t="shared" si="21"/>
        <v>12.137376564823175</v>
      </c>
      <c r="K125" s="3">
        <f t="shared" si="12"/>
        <v>0.31861660230943234</v>
      </c>
      <c r="L125" s="3">
        <f t="shared" si="13"/>
        <v>0.34086704644599281</v>
      </c>
      <c r="M125" s="3">
        <f t="shared" si="14"/>
        <v>0.3405163512445748</v>
      </c>
      <c r="N125">
        <f t="shared" si="18"/>
        <v>1.8271941696845526</v>
      </c>
      <c r="O125" s="4">
        <f>N125/MAX(N$14:N125)-1</f>
        <v>-2.0345325535384151E-2</v>
      </c>
    </row>
    <row r="126" spans="1:15" x14ac:dyDescent="0.3">
      <c r="A126" s="2">
        <v>43343</v>
      </c>
      <c r="B126" t="s">
        <v>128</v>
      </c>
      <c r="C126" t="s">
        <v>237</v>
      </c>
      <c r="D126" t="s">
        <v>371</v>
      </c>
      <c r="E126" s="4">
        <f t="shared" si="15"/>
        <v>5.7150920764834634E-3</v>
      </c>
      <c r="F126" s="4">
        <f t="shared" si="16"/>
        <v>2.0019082778238495E-2</v>
      </c>
      <c r="G126" s="4">
        <f t="shared" si="17"/>
        <v>7.1569827667388175E-3</v>
      </c>
      <c r="H126" s="7">
        <f t="shared" si="19"/>
        <v>11.456883155464098</v>
      </c>
      <c r="I126" s="7">
        <f t="shared" si="20"/>
        <v>12.395628496952254</v>
      </c>
      <c r="J126" s="7">
        <f t="shared" si="21"/>
        <v>12.213943471670584</v>
      </c>
      <c r="K126" s="3">
        <f t="shared" si="12"/>
        <v>0.31766036102097078</v>
      </c>
      <c r="L126" s="3">
        <f t="shared" si="13"/>
        <v>0.34368857306061801</v>
      </c>
      <c r="M126" s="3">
        <f t="shared" si="14"/>
        <v>0.33865106591841121</v>
      </c>
      <c r="N126">
        <f t="shared" si="18"/>
        <v>1.8474428403740506</v>
      </c>
      <c r="O126" s="4">
        <f>N126/MAX(N$14:N126)-1</f>
        <v>-9.4889506509973076E-3</v>
      </c>
    </row>
    <row r="127" spans="1:15" x14ac:dyDescent="0.3">
      <c r="A127" s="2">
        <v>43371</v>
      </c>
      <c r="B127" t="s">
        <v>129</v>
      </c>
      <c r="C127" t="s">
        <v>238</v>
      </c>
      <c r="D127" t="s">
        <v>372</v>
      </c>
      <c r="E127" s="4">
        <f t="shared" si="15"/>
        <v>5.9983162621017883E-3</v>
      </c>
      <c r="F127" s="4">
        <f t="shared" si="16"/>
        <v>-6.294366541944596E-4</v>
      </c>
      <c r="G127" s="4">
        <f t="shared" si="17"/>
        <v>-4.6750818139318362E-5</v>
      </c>
      <c r="H127" s="7">
        <f t="shared" si="19"/>
        <v>11.53466254099993</v>
      </c>
      <c r="I127" s="7">
        <f t="shared" si="20"/>
        <v>12.369996687033327</v>
      </c>
      <c r="J127" s="7">
        <f t="shared" si="21"/>
        <v>12.196863864933738</v>
      </c>
      <c r="K127" s="3">
        <f t="shared" si="12"/>
        <v>0.31950625770819679</v>
      </c>
      <c r="L127" s="3">
        <f t="shared" si="13"/>
        <v>0.34264473150284203</v>
      </c>
      <c r="M127" s="3">
        <f t="shared" si="14"/>
        <v>0.33784901078896118</v>
      </c>
      <c r="N127">
        <f t="shared" si="18"/>
        <v>1.8505341016510253</v>
      </c>
      <c r="O127" s="4">
        <f>N127/MAX(N$14:N127)-1</f>
        <v>-7.8315632697194548E-3</v>
      </c>
    </row>
    <row r="128" spans="1:15" x14ac:dyDescent="0.3">
      <c r="A128" s="2">
        <v>43404</v>
      </c>
      <c r="B128" t="s">
        <v>130</v>
      </c>
      <c r="C128" t="s">
        <v>239</v>
      </c>
      <c r="D128" t="s">
        <v>373</v>
      </c>
      <c r="E128" s="4">
        <f t="shared" si="15"/>
        <v>-0.12172669897834654</v>
      </c>
      <c r="F128" s="4">
        <f t="shared" si="16"/>
        <v>1.0339759963609696E-2</v>
      </c>
      <c r="G128" s="4">
        <f t="shared" si="17"/>
        <v>4.4882883725279044E-3</v>
      </c>
      <c r="H128" s="7">
        <f t="shared" si="19"/>
        <v>10.158114690768844</v>
      </c>
      <c r="I128" s="7">
        <f t="shared" si="20"/>
        <v>12.471592472410416</v>
      </c>
      <c r="J128" s="7">
        <f t="shared" si="21"/>
        <v>12.233038931049297</v>
      </c>
      <c r="K128" s="3">
        <f t="shared" si="12"/>
        <v>0.2913744850538465</v>
      </c>
      <c r="L128" s="3">
        <f t="shared" si="13"/>
        <v>0.35773408206862561</v>
      </c>
      <c r="M128" s="3">
        <f t="shared" si="14"/>
        <v>0.35089143287752789</v>
      </c>
      <c r="N128">
        <f t="shared" si="18"/>
        <v>1.7879245853933066</v>
      </c>
      <c r="O128" s="4">
        <f>N128/MAX(N$14:N128)-1</f>
        <v>-4.1399810304150186E-2</v>
      </c>
    </row>
    <row r="129" spans="1:15" x14ac:dyDescent="0.3">
      <c r="A129" s="2">
        <v>43434</v>
      </c>
      <c r="B129" t="s">
        <v>131</v>
      </c>
      <c r="C129" t="s">
        <v>240</v>
      </c>
      <c r="D129" t="s">
        <v>374</v>
      </c>
      <c r="E129" s="4">
        <f t="shared" si="15"/>
        <v>2.9974591075115242E-2</v>
      </c>
      <c r="F129" s="4">
        <f t="shared" si="16"/>
        <v>1.3723181353789693E-2</v>
      </c>
      <c r="G129" s="4">
        <f t="shared" si="17"/>
        <v>2.4854549685826566E-3</v>
      </c>
      <c r="H129" s="7">
        <f t="shared" si="19"/>
        <v>10.661600881008482</v>
      </c>
      <c r="I129" s="7">
        <f t="shared" si="20"/>
        <v>12.592393891449017</v>
      </c>
      <c r="J129" s="7">
        <f t="shared" si="21"/>
        <v>12.233328278662098</v>
      </c>
      <c r="K129" s="3">
        <f t="shared" si="12"/>
        <v>0.3004340695309819</v>
      </c>
      <c r="L129" s="3">
        <f t="shared" si="13"/>
        <v>0.35484203396547087</v>
      </c>
      <c r="M129" s="3">
        <f t="shared" si="14"/>
        <v>0.34472389650354723</v>
      </c>
      <c r="N129">
        <f t="shared" si="18"/>
        <v>1.8138766783103053</v>
      </c>
      <c r="O129" s="4">
        <f>N129/MAX(N$14:N129)-1</f>
        <v>-2.7485531482503545E-2</v>
      </c>
    </row>
    <row r="130" spans="1:15" x14ac:dyDescent="0.3">
      <c r="A130" s="2">
        <v>43462</v>
      </c>
      <c r="B130" t="s">
        <v>132</v>
      </c>
      <c r="C130" t="s">
        <v>241</v>
      </c>
      <c r="D130" t="s">
        <v>375</v>
      </c>
      <c r="E130" s="4">
        <f t="shared" si="15"/>
        <v>-2.1238869830011997E-2</v>
      </c>
      <c r="F130" s="4">
        <f t="shared" si="16"/>
        <v>1.2794342474996334E-2</v>
      </c>
      <c r="G130" s="4">
        <f t="shared" si="17"/>
        <v>3.4821528061508289E-3</v>
      </c>
      <c r="H130" s="7">
        <f t="shared" si="19"/>
        <v>10.578356157212603</v>
      </c>
      <c r="I130" s="7">
        <f t="shared" si="20"/>
        <v>12.697896458861841</v>
      </c>
      <c r="J130" s="7">
        <f t="shared" si="21"/>
        <v>12.246993823519617</v>
      </c>
      <c r="K130" s="3">
        <f t="shared" si="12"/>
        <v>0.29778686402439875</v>
      </c>
      <c r="L130" s="3">
        <f t="shared" si="13"/>
        <v>0.35745315340066497</v>
      </c>
      <c r="M130" s="3">
        <f t="shared" si="14"/>
        <v>0.34475998257493629</v>
      </c>
      <c r="N130">
        <f t="shared" si="18"/>
        <v>1.8127148389567327</v>
      </c>
      <c r="O130" s="4">
        <f>N130/MAX(N$14:N130)-1</f>
        <v>-2.8108454526254767E-2</v>
      </c>
    </row>
    <row r="131" spans="1:15" x14ac:dyDescent="0.3">
      <c r="A131" s="2">
        <v>43496</v>
      </c>
      <c r="B131" t="s">
        <v>133</v>
      </c>
      <c r="C131" t="s">
        <v>242</v>
      </c>
      <c r="D131" t="s">
        <v>376</v>
      </c>
      <c r="E131" s="4">
        <f t="shared" si="15"/>
        <v>9.2666981726527986E-2</v>
      </c>
      <c r="F131" s="4">
        <f t="shared" si="16"/>
        <v>-4.3683220752059881E-3</v>
      </c>
      <c r="G131" s="4">
        <f t="shared" si="17"/>
        <v>2.026520584452296E-3</v>
      </c>
      <c r="H131" s="7">
        <f t="shared" si="19"/>
        <v>11.747070294063247</v>
      </c>
      <c r="I131" s="7">
        <f t="shared" si="20"/>
        <v>12.574879180254104</v>
      </c>
      <c r="J131" s="7">
        <f t="shared" si="21"/>
        <v>12.238748558999173</v>
      </c>
      <c r="K131" s="3">
        <f t="shared" ref="K131:K153" si="22">H131/SUM($H131:$J131)</f>
        <v>0.32130322794599109</v>
      </c>
      <c r="L131" s="3">
        <f t="shared" ref="L131:L153" si="23">I131/SUM($H131:$J131)</f>
        <v>0.34394527065087876</v>
      </c>
      <c r="M131" s="3">
        <f t="shared" ref="M131:M153" si="24">J131/SUM($H131:$J131)</f>
        <v>0.33475150140313009</v>
      </c>
      <c r="N131">
        <f t="shared" si="18"/>
        <v>1.8611726992650561</v>
      </c>
      <c r="O131" s="4">
        <f>N131/MAX(N$14:N131)-1</f>
        <v>-2.1276528395911543E-3</v>
      </c>
    </row>
    <row r="132" spans="1:15" x14ac:dyDescent="0.3">
      <c r="A132" s="2">
        <v>43524</v>
      </c>
      <c r="B132" t="s">
        <v>134</v>
      </c>
      <c r="C132" t="s">
        <v>243</v>
      </c>
      <c r="D132" t="s">
        <v>377</v>
      </c>
      <c r="E132" s="4">
        <f t="shared" ref="E132:E153" si="25">IFERROR(B132/B131-1,0)</f>
        <v>-5.5865921787709993E-3</v>
      </c>
      <c r="F132" s="4">
        <f t="shared" ref="F132:F153" si="26">IFERROR(C132/C131-1,0)</f>
        <v>4.5907693350160095E-3</v>
      </c>
      <c r="G132" s="4">
        <f t="shared" ref="G132:G153" si="27">IFERROR(D132/D131-1,0)</f>
        <v>1.0897068873170213E-3</v>
      </c>
      <c r="H132" s="7">
        <f t="shared" si="19"/>
        <v>11.800623654697194</v>
      </c>
      <c r="I132" s="7">
        <f t="shared" si="20"/>
        <v>12.545855085180138</v>
      </c>
      <c r="J132" s="7">
        <f t="shared" si="21"/>
        <v>12.213687351435599</v>
      </c>
      <c r="K132" s="3">
        <f t="shared" si="22"/>
        <v>0.32277270363662658</v>
      </c>
      <c r="L132" s="3">
        <f t="shared" si="23"/>
        <v>0.34315640289613342</v>
      </c>
      <c r="M132" s="3">
        <f t="shared" si="24"/>
        <v>0.33407089346723984</v>
      </c>
      <c r="N132">
        <f t="shared" ref="N132:N153" si="28">(1+SUMPRODUCT(K131:M131,E132:G132))*N131</f>
        <v>1.8614495753519509</v>
      </c>
      <c r="O132" s="4">
        <f>N132/MAX(N$14:N132)-1</f>
        <v>-1.9792050406247652E-3</v>
      </c>
    </row>
    <row r="133" spans="1:15" x14ac:dyDescent="0.3">
      <c r="A133" s="2">
        <v>43553</v>
      </c>
      <c r="B133" t="s">
        <v>135</v>
      </c>
      <c r="C133" t="s">
        <v>244</v>
      </c>
      <c r="D133" t="s">
        <v>378</v>
      </c>
      <c r="E133" s="4">
        <f t="shared" si="25"/>
        <v>-2.1891989851395399E-2</v>
      </c>
      <c r="F133" s="4">
        <f t="shared" si="26"/>
        <v>1.5775051642004989E-2</v>
      </c>
      <c r="G133" s="4">
        <f t="shared" si="27"/>
        <v>5.3503560754215584E-3</v>
      </c>
      <c r="H133" s="7">
        <f t="shared" si="19"/>
        <v>11.609472700333402</v>
      </c>
      <c r="I133" s="7">
        <f t="shared" si="20"/>
        <v>12.657341383371312</v>
      </c>
      <c r="J133" s="7">
        <f t="shared" si="21"/>
        <v>12.243458436396224</v>
      </c>
      <c r="K133" s="3">
        <f t="shared" si="22"/>
        <v>0.3179782537624648</v>
      </c>
      <c r="L133" s="3">
        <f t="shared" si="23"/>
        <v>0.34667890732403434</v>
      </c>
      <c r="M133" s="3">
        <f t="shared" si="24"/>
        <v>0.33534283891350081</v>
      </c>
      <c r="N133">
        <f t="shared" si="28"/>
        <v>1.8617000733374114</v>
      </c>
      <c r="O133" s="4">
        <f>N133/MAX(N$14:N133)-1</f>
        <v>-1.8448999260004539E-3</v>
      </c>
    </row>
    <row r="134" spans="1:15" x14ac:dyDescent="0.3">
      <c r="A134" s="2">
        <v>43585</v>
      </c>
      <c r="B134" t="s">
        <v>136</v>
      </c>
      <c r="C134" t="s">
        <v>245</v>
      </c>
      <c r="D134" t="s">
        <v>379</v>
      </c>
      <c r="E134" s="4">
        <f t="shared" si="25"/>
        <v>2.6717557251908497E-2</v>
      </c>
      <c r="F134" s="4">
        <f t="shared" si="26"/>
        <v>-1.1620571732129381E-4</v>
      </c>
      <c r="G134" s="4">
        <f t="shared" si="27"/>
        <v>1.082727739851741E-3</v>
      </c>
      <c r="H134" s="7">
        <f t="shared" si="19"/>
        <v>12.019587506846383</v>
      </c>
      <c r="I134" s="7">
        <f t="shared" si="20"/>
        <v>12.566221657584514</v>
      </c>
      <c r="J134" s="7">
        <f t="shared" si="21"/>
        <v>12.219956470380732</v>
      </c>
      <c r="K134" s="3">
        <f t="shared" si="22"/>
        <v>0.32656806072464956</v>
      </c>
      <c r="L134" s="3">
        <f t="shared" si="23"/>
        <v>0.34141992269002358</v>
      </c>
      <c r="M134" s="3">
        <f t="shared" si="24"/>
        <v>0.33201201658532686</v>
      </c>
      <c r="N134">
        <f t="shared" si="28"/>
        <v>1.8781172913542739</v>
      </c>
      <c r="O134" s="4">
        <f>N134/MAX(N$14:N134)-1</f>
        <v>0</v>
      </c>
    </row>
    <row r="135" spans="1:15" x14ac:dyDescent="0.3">
      <c r="A135" s="2">
        <v>43616</v>
      </c>
      <c r="B135" t="s">
        <v>137</v>
      </c>
      <c r="C135" t="s">
        <v>246</v>
      </c>
      <c r="D135" t="s">
        <v>380</v>
      </c>
      <c r="E135" s="4">
        <f t="shared" si="25"/>
        <v>-7.5468293211101933E-2</v>
      </c>
      <c r="F135" s="4">
        <f t="shared" si="26"/>
        <v>1.4436087728910252E-2</v>
      </c>
      <c r="G135" s="4">
        <f t="shared" si="27"/>
        <v>4.3445583032390989E-3</v>
      </c>
      <c r="H135" s="7">
        <f t="shared" si="19"/>
        <v>11.199979339338512</v>
      </c>
      <c r="I135" s="7">
        <f t="shared" si="20"/>
        <v>12.652145569094106</v>
      </c>
      <c r="J135" s="7">
        <f t="shared" si="21"/>
        <v>12.236921888778506</v>
      </c>
      <c r="K135" s="3">
        <f t="shared" si="22"/>
        <v>0.31034289717521768</v>
      </c>
      <c r="L135" s="3">
        <f t="shared" si="23"/>
        <v>0.35058131737831971</v>
      </c>
      <c r="M135" s="3">
        <f t="shared" si="24"/>
        <v>0.33907578544646255</v>
      </c>
      <c r="N135">
        <f t="shared" si="28"/>
        <v>1.8437959737718483</v>
      </c>
      <c r="O135" s="4">
        <f>N135/MAX(N$14:N135)-1</f>
        <v>-1.8274320640366937E-2</v>
      </c>
    </row>
    <row r="136" spans="1:15" x14ac:dyDescent="0.3">
      <c r="A136" s="2">
        <v>43644</v>
      </c>
      <c r="B136" t="s">
        <v>138</v>
      </c>
      <c r="C136" t="s">
        <v>247</v>
      </c>
      <c r="D136" t="s">
        <v>381</v>
      </c>
      <c r="E136" s="4">
        <f t="shared" si="25"/>
        <v>5.6761399125546452E-2</v>
      </c>
      <c r="F136" s="4">
        <f t="shared" si="26"/>
        <v>6.9148370307934304E-3</v>
      </c>
      <c r="G136" s="4">
        <f t="shared" si="27"/>
        <v>3.9424691538292311E-3</v>
      </c>
      <c r="H136" s="7">
        <f t="shared" si="19"/>
        <v>11.975648161228314</v>
      </c>
      <c r="I136" s="7">
        <f t="shared" si="20"/>
        <v>12.632878449347604</v>
      </c>
      <c r="J136" s="7">
        <f t="shared" si="21"/>
        <v>12.24684251402099</v>
      </c>
      <c r="K136" s="3">
        <f t="shared" si="22"/>
        <v>0.32493632395166777</v>
      </c>
      <c r="L136" s="3">
        <f t="shared" si="23"/>
        <v>0.34276901166393547</v>
      </c>
      <c r="M136" s="3">
        <f t="shared" si="24"/>
        <v>0.33229466438439687</v>
      </c>
      <c r="N136">
        <f t="shared" si="28"/>
        <v>1.8832098886437554</v>
      </c>
      <c r="O136" s="4">
        <f>N136/MAX(N$14:N136)-1</f>
        <v>0</v>
      </c>
    </row>
    <row r="137" spans="1:15" x14ac:dyDescent="0.3">
      <c r="A137" s="2">
        <v>43677</v>
      </c>
      <c r="B137" t="s">
        <v>139</v>
      </c>
      <c r="C137" t="s">
        <v>248</v>
      </c>
      <c r="D137" t="s">
        <v>382</v>
      </c>
      <c r="E137" s="4">
        <f t="shared" si="25"/>
        <v>-3.9527151828592566E-2</v>
      </c>
      <c r="F137" s="4">
        <f t="shared" si="26"/>
        <v>1.774133250979304E-2</v>
      </c>
      <c r="G137" s="4">
        <f t="shared" si="27"/>
        <v>6.3086320994836242E-3</v>
      </c>
      <c r="H137" s="7">
        <f t="shared" si="19"/>
        <v>11.551020887569193</v>
      </c>
      <c r="I137" s="7">
        <f t="shared" si="20"/>
        <v>12.754908059689155</v>
      </c>
      <c r="J137" s="7">
        <f t="shared" si="21"/>
        <v>12.286063331701353</v>
      </c>
      <c r="K137" s="3">
        <f t="shared" si="22"/>
        <v>0.31567072925436201</v>
      </c>
      <c r="L137" s="3">
        <f t="shared" si="23"/>
        <v>0.34857101964965143</v>
      </c>
      <c r="M137" s="3">
        <f t="shared" si="24"/>
        <v>0.33575825109598656</v>
      </c>
      <c r="N137">
        <f t="shared" si="28"/>
        <v>1.8744222595320896</v>
      </c>
      <c r="O137" s="4">
        <f>N137/MAX(N$14:N137)-1</f>
        <v>-4.6663036152567727E-3</v>
      </c>
    </row>
    <row r="138" spans="1:15" x14ac:dyDescent="0.3">
      <c r="A138" s="2">
        <v>43707</v>
      </c>
      <c r="B138" t="s">
        <v>140</v>
      </c>
      <c r="C138" t="s">
        <v>249</v>
      </c>
      <c r="D138" t="s">
        <v>383</v>
      </c>
      <c r="E138" s="4">
        <f t="shared" si="25"/>
        <v>-2.9038461538461569E-2</v>
      </c>
      <c r="F138" s="4">
        <f t="shared" si="26"/>
        <v>1.0772265210134968E-2</v>
      </c>
      <c r="G138" s="4">
        <f t="shared" si="27"/>
        <v>3.9565680836841643E-3</v>
      </c>
      <c r="H138" s="7">
        <f t="shared" si="19"/>
        <v>11.295956701671749</v>
      </c>
      <c r="I138" s="7">
        <f t="shared" si="20"/>
        <v>12.774359996000209</v>
      </c>
      <c r="J138" s="7">
        <f t="shared" si="21"/>
        <v>12.292015987027685</v>
      </c>
      <c r="K138" s="3">
        <f t="shared" si="22"/>
        <v>0.31064994646025018</v>
      </c>
      <c r="L138" s="3">
        <f t="shared" si="23"/>
        <v>0.35130749467498662</v>
      </c>
      <c r="M138" s="3">
        <f t="shared" si="24"/>
        <v>0.33804255886476337</v>
      </c>
      <c r="N138">
        <f t="shared" si="28"/>
        <v>1.8667685389329161</v>
      </c>
      <c r="O138" s="4">
        <f>N138/MAX(N$14:N138)-1</f>
        <v>-8.7304924480191559E-3</v>
      </c>
    </row>
    <row r="139" spans="1:15" x14ac:dyDescent="0.3">
      <c r="A139" s="2">
        <v>43738</v>
      </c>
      <c r="B139" t="s">
        <v>141</v>
      </c>
      <c r="C139" t="s">
        <v>250</v>
      </c>
      <c r="D139" t="s">
        <v>384</v>
      </c>
      <c r="E139" s="4">
        <f t="shared" si="25"/>
        <v>5.8902753020400045E-2</v>
      </c>
      <c r="F139" s="4">
        <f t="shared" si="26"/>
        <v>-1.3201346205501729E-2</v>
      </c>
      <c r="G139" s="4">
        <f t="shared" si="27"/>
        <v>-2.744286485513725E-3</v>
      </c>
      <c r="H139" s="7">
        <f t="shared" si="19"/>
        <v>12.082520704650806</v>
      </c>
      <c r="I139" s="7">
        <f t="shared" si="20"/>
        <v>12.500560954191133</v>
      </c>
      <c r="J139" s="7">
        <f t="shared" si="21"/>
        <v>12.219213501495005</v>
      </c>
      <c r="K139" s="3">
        <f t="shared" si="22"/>
        <v>0.32830889084527909</v>
      </c>
      <c r="L139" s="3">
        <f t="shared" si="23"/>
        <v>0.33966797178626518</v>
      </c>
      <c r="M139" s="3">
        <f t="shared" si="24"/>
        <v>0.33202313736845568</v>
      </c>
      <c r="N139">
        <f t="shared" si="28"/>
        <v>1.8905375792683823</v>
      </c>
      <c r="O139" s="4">
        <f>N139/MAX(N$14:N139)-1</f>
        <v>0</v>
      </c>
    </row>
    <row r="140" spans="1:15" x14ac:dyDescent="0.3">
      <c r="A140" s="2">
        <v>43769</v>
      </c>
      <c r="B140" t="s">
        <v>142</v>
      </c>
      <c r="C140" t="s">
        <v>251</v>
      </c>
      <c r="D140" t="s">
        <v>385</v>
      </c>
      <c r="E140" s="4">
        <f t="shared" si="25"/>
        <v>1.0511746221756768E-2</v>
      </c>
      <c r="F140" s="4">
        <f t="shared" si="26"/>
        <v>-2.1391915585195376E-2</v>
      </c>
      <c r="G140" s="4">
        <f t="shared" si="27"/>
        <v>-4.5833897234628385E-3</v>
      </c>
      <c r="H140" s="7">
        <f t="shared" si="19"/>
        <v>12.278132128546027</v>
      </c>
      <c r="I140" s="7">
        <f t="shared" si="20"/>
        <v>12.142485201222852</v>
      </c>
      <c r="J140" s="7">
        <f t="shared" si="21"/>
        <v>12.127000962355222</v>
      </c>
      <c r="K140" s="3">
        <f t="shared" si="22"/>
        <v>0.33594889906114422</v>
      </c>
      <c r="L140" s="3">
        <f t="shared" si="23"/>
        <v>0.33223738696645855</v>
      </c>
      <c r="M140" s="3">
        <f t="shared" si="24"/>
        <v>0.33181371397239734</v>
      </c>
      <c r="N140">
        <f t="shared" si="28"/>
        <v>1.8804480821790448</v>
      </c>
      <c r="O140" s="4">
        <f>N140/MAX(N$14:N140)-1</f>
        <v>-5.3368402723007469E-3</v>
      </c>
    </row>
    <row r="141" spans="1:15" x14ac:dyDescent="0.3">
      <c r="A141" s="2">
        <v>43798</v>
      </c>
      <c r="B141" t="s">
        <v>143</v>
      </c>
      <c r="C141" t="s">
        <v>252</v>
      </c>
      <c r="D141" t="s">
        <v>386</v>
      </c>
      <c r="E141" s="4">
        <f t="shared" si="25"/>
        <v>2.5543256950357751E-3</v>
      </c>
      <c r="F141" s="4">
        <f t="shared" si="26"/>
        <v>1.0627070806233929E-2</v>
      </c>
      <c r="G141" s="4">
        <f t="shared" si="27"/>
        <v>4.1150398361236018E-3</v>
      </c>
      <c r="H141" s="7">
        <f t="shared" si="19"/>
        <v>12.236854265542899</v>
      </c>
      <c r="I141" s="7">
        <f t="shared" si="20"/>
        <v>12.212574359654486</v>
      </c>
      <c r="J141" s="7">
        <f t="shared" si="21"/>
        <v>12.149778693964882</v>
      </c>
      <c r="K141" s="3">
        <f t="shared" si="22"/>
        <v>0.33434752176001481</v>
      </c>
      <c r="L141" s="3">
        <f t="shared" si="23"/>
        <v>0.3336841219853508</v>
      </c>
      <c r="M141" s="3">
        <f t="shared" si="24"/>
        <v>0.33196835625463439</v>
      </c>
      <c r="N141">
        <f t="shared" si="28"/>
        <v>1.8912686689693279</v>
      </c>
      <c r="O141" s="4">
        <f>N141/MAX(N$14:N141)-1</f>
        <v>0</v>
      </c>
    </row>
    <row r="142" spans="1:15" x14ac:dyDescent="0.3">
      <c r="A142" s="2">
        <v>43829</v>
      </c>
      <c r="B142" t="s">
        <v>144</v>
      </c>
      <c r="C142" t="s">
        <v>253</v>
      </c>
      <c r="D142" t="s">
        <v>387</v>
      </c>
      <c r="E142" s="4">
        <f t="shared" si="25"/>
        <v>7.5363710213425916E-2</v>
      </c>
      <c r="F142" s="4">
        <f t="shared" si="26"/>
        <v>-4.0798484627714293E-3</v>
      </c>
      <c r="G142" s="4">
        <f t="shared" si="27"/>
        <v>1.1193255161083826E-3</v>
      </c>
      <c r="H142" s="7">
        <f t="shared" si="19"/>
        <v>13.111856297017887</v>
      </c>
      <c r="I142" s="7">
        <f t="shared" si="20"/>
        <v>12.107876031295234</v>
      </c>
      <c r="J142" s="7">
        <f t="shared" si="21"/>
        <v>12.134662491545114</v>
      </c>
      <c r="K142" s="3">
        <f t="shared" si="22"/>
        <v>0.35101241394084637</v>
      </c>
      <c r="L142" s="3">
        <f t="shared" si="23"/>
        <v>0.32413524806613864</v>
      </c>
      <c r="M142" s="3">
        <f t="shared" si="24"/>
        <v>0.32485233799301494</v>
      </c>
      <c r="N142">
        <f t="shared" si="28"/>
        <v>1.9370522545511979</v>
      </c>
      <c r="O142" s="4">
        <f>N142/MAX(N$14:N142)-1</f>
        <v>0</v>
      </c>
    </row>
    <row r="143" spans="1:15" x14ac:dyDescent="0.3">
      <c r="A143" s="2">
        <v>43861</v>
      </c>
      <c r="B143" t="s">
        <v>145</v>
      </c>
      <c r="C143" t="s">
        <v>254</v>
      </c>
      <c r="D143" t="s">
        <v>388</v>
      </c>
      <c r="E143" s="4">
        <f t="shared" si="25"/>
        <v>-2.9392576314253294E-2</v>
      </c>
      <c r="F143" s="4">
        <f t="shared" si="26"/>
        <v>1.223278875071121E-2</v>
      </c>
      <c r="G143" s="4">
        <f t="shared" si="27"/>
        <v>3.7148911230331372E-3</v>
      </c>
      <c r="H143" s="7">
        <f t="shared" ref="H143:H153" si="29">IFERROR(B143/B142+B143/B141+B143/B140+B143/B139+B143/B138+B143/B137+B143/B136+B143/B135+B143/B134+B143/B133+B143/B132+B143/B131,0)</f>
        <v>12.583847846190851</v>
      </c>
      <c r="I143" s="7">
        <f t="shared" ref="I143:I153" si="30">IFERROR(C143/C142+C143/C141+C143/C140+C143/C139+C143/C138+C143/C137+C143/C136+C143/C135+C143/C134+C143/C133+C143/C132+C143/C131,0)</f>
        <v>12.21801150505431</v>
      </c>
      <c r="J143" s="7">
        <f t="shared" ref="J143:J153" si="31">IFERROR(D143/D142+D143/D141+D143/D140+D143/D139+D143/D138+D143/D137+D143/D136+D143/D135+D143/D134+D143/D133+D143/D132+D143/D131,0)</f>
        <v>12.153382397024977</v>
      </c>
      <c r="K143" s="3">
        <f t="shared" si="22"/>
        <v>0.34051591197559672</v>
      </c>
      <c r="L143" s="3">
        <f t="shared" si="23"/>
        <v>0.33061646811243578</v>
      </c>
      <c r="M143" s="3">
        <f t="shared" si="24"/>
        <v>0.3288676199119675</v>
      </c>
      <c r="N143">
        <f t="shared" si="28"/>
        <v>1.9270855587993851</v>
      </c>
      <c r="O143" s="4">
        <f>N143/MAX(N$14:N143)-1</f>
        <v>-5.1452900810473601E-3</v>
      </c>
    </row>
    <row r="144" spans="1:15" x14ac:dyDescent="0.3">
      <c r="A144" s="2">
        <v>43889</v>
      </c>
      <c r="B144" t="s">
        <v>146</v>
      </c>
      <c r="C144" t="s">
        <v>255</v>
      </c>
      <c r="D144" t="s">
        <v>389</v>
      </c>
      <c r="E144" s="4">
        <f t="shared" si="25"/>
        <v>-5.7982806806523457E-2</v>
      </c>
      <c r="F144" s="4">
        <f t="shared" si="26"/>
        <v>1.8388404866101826E-2</v>
      </c>
      <c r="G144" s="4">
        <f t="shared" si="27"/>
        <v>6.5847983686229128E-3</v>
      </c>
      <c r="H144" s="7">
        <f t="shared" si="29"/>
        <v>11.836477727053294</v>
      </c>
      <c r="I144" s="7">
        <f t="shared" si="30"/>
        <v>12.386855037902656</v>
      </c>
      <c r="J144" s="7">
        <f t="shared" si="31"/>
        <v>12.205234965230197</v>
      </c>
      <c r="K144" s="3">
        <f t="shared" si="22"/>
        <v>0.3249229509851172</v>
      </c>
      <c r="L144" s="3">
        <f t="shared" si="23"/>
        <v>0.34003134928740064</v>
      </c>
      <c r="M144" s="3">
        <f t="shared" si="24"/>
        <v>0.33504569972748227</v>
      </c>
      <c r="N144">
        <f t="shared" si="28"/>
        <v>1.9049259404837835</v>
      </c>
      <c r="O144" s="4">
        <f>N144/MAX(N$14:N144)-1</f>
        <v>-1.6585156126755041E-2</v>
      </c>
    </row>
    <row r="145" spans="1:15" x14ac:dyDescent="0.3">
      <c r="A145" s="2">
        <v>43921</v>
      </c>
      <c r="B145" t="s">
        <v>71</v>
      </c>
      <c r="C145" t="s">
        <v>256</v>
      </c>
      <c r="D145" t="s">
        <v>390</v>
      </c>
      <c r="E145" s="4">
        <f t="shared" si="25"/>
        <v>-0.11210004506534477</v>
      </c>
      <c r="F145" s="4">
        <f t="shared" si="26"/>
        <v>-1.6439976345357765E-2</v>
      </c>
      <c r="G145" s="4">
        <f t="shared" si="27"/>
        <v>-9.2815707273541381E-4</v>
      </c>
      <c r="H145" s="7">
        <f t="shared" si="29"/>
        <v>10.540567074746912</v>
      </c>
      <c r="I145" s="7">
        <f t="shared" si="30"/>
        <v>12.115049139288798</v>
      </c>
      <c r="J145" s="7">
        <f t="shared" si="31"/>
        <v>12.160304361932594</v>
      </c>
      <c r="K145" s="3">
        <f t="shared" si="22"/>
        <v>0.30275135341452208</v>
      </c>
      <c r="L145" s="3">
        <f t="shared" si="23"/>
        <v>0.3479744019077069</v>
      </c>
      <c r="M145" s="3">
        <f t="shared" si="24"/>
        <v>0.34927424467777096</v>
      </c>
      <c r="N145">
        <f t="shared" si="28"/>
        <v>1.8243000265869158</v>
      </c>
      <c r="O145" s="4">
        <f>N145/MAX(N$14:N145)-1</f>
        <v>-5.8208149883084093E-2</v>
      </c>
    </row>
    <row r="146" spans="1:15" x14ac:dyDescent="0.3">
      <c r="A146" s="2">
        <v>43950</v>
      </c>
      <c r="B146" t="s">
        <v>147</v>
      </c>
      <c r="C146" t="s">
        <v>257</v>
      </c>
      <c r="D146" t="s">
        <v>391</v>
      </c>
      <c r="E146" s="4">
        <f t="shared" si="25"/>
        <v>8.7129382904030717E-2</v>
      </c>
      <c r="F146" s="4">
        <f t="shared" si="26"/>
        <v>5.2509219175886912E-3</v>
      </c>
      <c r="G146" s="4">
        <f t="shared" si="27"/>
        <v>3.9483322316116176E-3</v>
      </c>
      <c r="H146" s="7">
        <f t="shared" si="29"/>
        <v>11.593632732865055</v>
      </c>
      <c r="I146" s="7">
        <f t="shared" si="30"/>
        <v>12.143085529442869</v>
      </c>
      <c r="J146" s="7">
        <f t="shared" si="31"/>
        <v>12.181031673225556</v>
      </c>
      <c r="K146" s="3">
        <f t="shared" si="22"/>
        <v>0.32278282335819314</v>
      </c>
      <c r="L146" s="3">
        <f t="shared" si="23"/>
        <v>0.33808035167118577</v>
      </c>
      <c r="M146" s="3">
        <f t="shared" si="24"/>
        <v>0.33913682497062114</v>
      </c>
      <c r="N146">
        <f t="shared" si="28"/>
        <v>1.8782715338071143</v>
      </c>
      <c r="O146" s="4">
        <f>N146/MAX(N$14:N146)-1</f>
        <v>-3.0345449177210049E-2</v>
      </c>
    </row>
    <row r="147" spans="1:15" x14ac:dyDescent="0.3">
      <c r="A147" s="2">
        <v>43980</v>
      </c>
      <c r="B147" t="s">
        <v>148</v>
      </c>
      <c r="C147" t="s">
        <v>258</v>
      </c>
      <c r="D147" t="s">
        <v>392</v>
      </c>
      <c r="E147" s="4">
        <f t="shared" si="25"/>
        <v>3.6805042212971317E-2</v>
      </c>
      <c r="F147" s="4">
        <f t="shared" si="26"/>
        <v>1.3836277363531213E-2</v>
      </c>
      <c r="G147" s="4">
        <f t="shared" si="27"/>
        <v>5.2585685304480378E-3</v>
      </c>
      <c r="H147" s="7">
        <f t="shared" si="29"/>
        <v>12.095327213347357</v>
      </c>
      <c r="I147" s="7">
        <f t="shared" si="30"/>
        <v>12.269583350762776</v>
      </c>
      <c r="J147" s="7">
        <f t="shared" si="31"/>
        <v>12.214809477695864</v>
      </c>
      <c r="K147" s="3">
        <f t="shared" si="22"/>
        <v>0.33065663705255061</v>
      </c>
      <c r="L147" s="3">
        <f t="shared" si="23"/>
        <v>0.33542037327623592</v>
      </c>
      <c r="M147" s="3">
        <f t="shared" si="24"/>
        <v>0.33392298967121342</v>
      </c>
      <c r="N147">
        <f t="shared" si="28"/>
        <v>1.9127212560920686</v>
      </c>
      <c r="O147" s="4">
        <f>N147/MAX(N$14:N147)-1</f>
        <v>-1.2560837428088223E-2</v>
      </c>
    </row>
    <row r="148" spans="1:15" x14ac:dyDescent="0.3">
      <c r="A148" s="2">
        <v>44012</v>
      </c>
      <c r="B148" t="s">
        <v>149</v>
      </c>
      <c r="C148" t="s">
        <v>259</v>
      </c>
      <c r="D148" t="s">
        <v>393</v>
      </c>
      <c r="E148" s="4">
        <f t="shared" si="25"/>
        <v>4.8557169124544997E-2</v>
      </c>
      <c r="F148" s="4">
        <f t="shared" si="26"/>
        <v>1.4945331550382246E-3</v>
      </c>
      <c r="G148" s="4">
        <f t="shared" si="27"/>
        <v>6.2843537294532403E-4</v>
      </c>
      <c r="H148" s="7">
        <f t="shared" si="29"/>
        <v>12.640357570125538</v>
      </c>
      <c r="I148" s="7">
        <f t="shared" si="30"/>
        <v>12.247525182133879</v>
      </c>
      <c r="J148" s="7">
        <f t="shared" si="31"/>
        <v>12.191410108639669</v>
      </c>
      <c r="K148" s="3">
        <f t="shared" si="22"/>
        <v>0.34090071829430885</v>
      </c>
      <c r="L148" s="3">
        <f t="shared" si="23"/>
        <v>0.33030633103171064</v>
      </c>
      <c r="M148" s="3">
        <f t="shared" si="24"/>
        <v>0.32879295067398046</v>
      </c>
      <c r="N148">
        <f t="shared" si="28"/>
        <v>1.9447916547277879</v>
      </c>
      <c r="O148" s="4">
        <f>N148/MAX(N$14:N148)-1</f>
        <v>0</v>
      </c>
    </row>
    <row r="149" spans="1:15" x14ac:dyDescent="0.3">
      <c r="A149" s="2">
        <v>44043</v>
      </c>
      <c r="B149" t="s">
        <v>150</v>
      </c>
      <c r="C149" t="s">
        <v>260</v>
      </c>
      <c r="D149" t="s">
        <v>394</v>
      </c>
      <c r="E149" s="4">
        <f t="shared" si="25"/>
        <v>6.8747092295029066E-2</v>
      </c>
      <c r="F149" s="4">
        <f t="shared" si="26"/>
        <v>9.3072573044297169E-3</v>
      </c>
      <c r="G149" s="4">
        <f t="shared" si="27"/>
        <v>3.3524988942945644E-3</v>
      </c>
      <c r="H149" s="7">
        <f t="shared" si="29"/>
        <v>13.474878601021125</v>
      </c>
      <c r="I149" s="7">
        <f t="shared" si="30"/>
        <v>12.326457785813547</v>
      </c>
      <c r="J149" s="7">
        <f t="shared" si="31"/>
        <v>12.204536558096773</v>
      </c>
      <c r="K149" s="3">
        <f t="shared" si="22"/>
        <v>0.35454727274770226</v>
      </c>
      <c r="L149" s="3">
        <f t="shared" si="23"/>
        <v>0.32433034240981523</v>
      </c>
      <c r="M149" s="3">
        <f t="shared" si="24"/>
        <v>0.32112238484248268</v>
      </c>
      <c r="N149">
        <f t="shared" si="28"/>
        <v>1.9984921309786976</v>
      </c>
      <c r="O149" s="4">
        <f>N149/MAX(N$14:N149)-1</f>
        <v>0</v>
      </c>
    </row>
    <row r="150" spans="1:15" x14ac:dyDescent="0.3">
      <c r="A150" s="2">
        <v>44074</v>
      </c>
      <c r="B150" t="s">
        <v>151</v>
      </c>
      <c r="C150" t="s">
        <v>261</v>
      </c>
      <c r="D150" t="s">
        <v>395</v>
      </c>
      <c r="E150" s="4">
        <f t="shared" si="25"/>
        <v>2.6218858826680957E-2</v>
      </c>
      <c r="F150" s="4">
        <f t="shared" si="26"/>
        <v>-1.7119956421929095E-2</v>
      </c>
      <c r="G150" s="4">
        <f t="shared" si="27"/>
        <v>-3.8261820169445127E-3</v>
      </c>
      <c r="H150" s="7">
        <f t="shared" si="29"/>
        <v>13.675662630363872</v>
      </c>
      <c r="I150" s="7">
        <f t="shared" si="30"/>
        <v>12.089717150280196</v>
      </c>
      <c r="J150" s="7">
        <f t="shared" si="31"/>
        <v>12.133300331529776</v>
      </c>
      <c r="K150" s="3">
        <f t="shared" si="22"/>
        <v>0.3608479923281277</v>
      </c>
      <c r="L150" s="3">
        <f t="shared" si="23"/>
        <v>0.31900100780545992</v>
      </c>
      <c r="M150" s="3">
        <f t="shared" si="24"/>
        <v>0.32015099986641243</v>
      </c>
      <c r="N150">
        <f t="shared" si="28"/>
        <v>2.0035176009828475</v>
      </c>
      <c r="O150" s="4">
        <f>N150/MAX(N$14:N150)-1</f>
        <v>0</v>
      </c>
    </row>
    <row r="151" spans="1:15" x14ac:dyDescent="0.3">
      <c r="A151" s="2">
        <v>44103</v>
      </c>
      <c r="B151" t="s">
        <v>152</v>
      </c>
      <c r="C151" t="s">
        <v>262</v>
      </c>
      <c r="D151" t="s">
        <v>396</v>
      </c>
      <c r="E151" s="4">
        <f t="shared" si="25"/>
        <v>9.9194048357098552E-3</v>
      </c>
      <c r="F151" s="4">
        <f t="shared" si="26"/>
        <v>8.3527968013934473E-3</v>
      </c>
      <c r="G151" s="4">
        <f t="shared" si="27"/>
        <v>3.8497278640647892E-3</v>
      </c>
      <c r="H151" s="7">
        <f t="shared" si="29"/>
        <v>13.59521151379003</v>
      </c>
      <c r="I151" s="7">
        <f t="shared" si="30"/>
        <v>12.192874889007507</v>
      </c>
      <c r="J151" s="7">
        <f t="shared" si="31"/>
        <v>12.163255320970325</v>
      </c>
      <c r="K151" s="3">
        <f t="shared" si="22"/>
        <v>0.35822742744496244</v>
      </c>
      <c r="L151" s="3">
        <f t="shared" si="23"/>
        <v>0.32127651711906274</v>
      </c>
      <c r="M151" s="3">
        <f t="shared" si="24"/>
        <v>0.3204960554359747</v>
      </c>
      <c r="N151">
        <f t="shared" si="28"/>
        <v>2.0184967844082538</v>
      </c>
      <c r="O151" s="4">
        <f>N151/MAX(N$14:N151)-1</f>
        <v>0</v>
      </c>
    </row>
    <row r="152" spans="1:15" x14ac:dyDescent="0.3">
      <c r="A152" s="2">
        <v>44134</v>
      </c>
      <c r="B152" t="s">
        <v>153</v>
      </c>
      <c r="C152" t="s">
        <v>263</v>
      </c>
      <c r="D152" t="s">
        <v>397</v>
      </c>
      <c r="E152" s="4">
        <f t="shared" si="25"/>
        <v>-2.5071887822687433E-2</v>
      </c>
      <c r="F152" s="4">
        <f t="shared" si="26"/>
        <v>-7.9695351758793942E-3</v>
      </c>
      <c r="G152" s="4">
        <f t="shared" si="27"/>
        <v>-1.8513620735255421E-3</v>
      </c>
      <c r="H152" s="7">
        <f t="shared" si="29"/>
        <v>13.100485060489213</v>
      </c>
      <c r="I152" s="7">
        <f t="shared" si="30"/>
        <v>12.076221243159965</v>
      </c>
      <c r="J152" s="7">
        <f t="shared" si="31"/>
        <v>12.117366895898531</v>
      </c>
      <c r="K152" s="3">
        <f t="shared" si="22"/>
        <v>0.35127525466025233</v>
      </c>
      <c r="L152" s="3">
        <f t="shared" si="23"/>
        <v>0.32381073471230332</v>
      </c>
      <c r="M152" s="3">
        <f t="shared" si="24"/>
        <v>0.32491401062744429</v>
      </c>
      <c r="N152">
        <f t="shared" si="28"/>
        <v>1.9940018886786026</v>
      </c>
      <c r="O152" s="4">
        <f>N152/MAX(N$14:N152)-1</f>
        <v>-1.2135216622023104E-2</v>
      </c>
    </row>
    <row r="153" spans="1:15" x14ac:dyDescent="0.3">
      <c r="A153" s="2">
        <v>44155</v>
      </c>
      <c r="B153" t="s">
        <v>154</v>
      </c>
      <c r="C153" t="s">
        <v>264</v>
      </c>
      <c r="D153" t="s">
        <v>398</v>
      </c>
      <c r="E153" s="4">
        <f t="shared" si="25"/>
        <v>0.13057166528583264</v>
      </c>
      <c r="F153" s="4">
        <f t="shared" si="26"/>
        <v>-4.0761407257905446E-3</v>
      </c>
      <c r="G153" s="4">
        <f t="shared" si="27"/>
        <v>-4.4161808867693164E-4</v>
      </c>
      <c r="H153" s="7">
        <f t="shared" si="29"/>
        <v>14.678698425651472</v>
      </c>
      <c r="I153" s="7">
        <f t="shared" si="30"/>
        <v>11.993510163588169</v>
      </c>
      <c r="J153" s="7">
        <f t="shared" si="31"/>
        <v>12.085805178621536</v>
      </c>
      <c r="K153" s="3">
        <f t="shared" si="22"/>
        <v>0.37872679734231646</v>
      </c>
      <c r="L153" s="3">
        <f t="shared" si="23"/>
        <v>0.30944594414519244</v>
      </c>
      <c r="M153" s="3">
        <f t="shared" si="24"/>
        <v>0.31182725851249105</v>
      </c>
      <c r="N153">
        <f t="shared" si="28"/>
        <v>2.0825419711825655</v>
      </c>
      <c r="O153" s="4">
        <f>N153/MAX(N$14:N153)-1</f>
        <v>0</v>
      </c>
    </row>
  </sheetData>
  <mergeCells count="3">
    <mergeCell ref="H1:J1"/>
    <mergeCell ref="K1:M1"/>
    <mergeCell ref="E1:G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3"/>
  <sheetViews>
    <sheetView topLeftCell="A122" workbookViewId="0">
      <selection activeCell="J151" sqref="J151"/>
    </sheetView>
  </sheetViews>
  <sheetFormatPr defaultRowHeight="16.5" x14ac:dyDescent="0.3"/>
  <cols>
    <col min="1" max="1" width="21.75" bestFit="1" customWidth="1"/>
    <col min="2" max="2" width="9.25" bestFit="1" customWidth="1"/>
    <col min="3" max="3" width="11.375" bestFit="1" customWidth="1"/>
    <col min="4" max="4" width="10.125" bestFit="1" customWidth="1"/>
    <col min="5" max="5" width="8.25" bestFit="1" customWidth="1"/>
    <col min="6" max="7" width="7.25" bestFit="1" customWidth="1"/>
    <col min="8" max="10" width="5.5" bestFit="1" customWidth="1"/>
    <col min="11" max="11" width="6.125" bestFit="1" customWidth="1"/>
    <col min="12" max="12" width="5.125" customWidth="1"/>
    <col min="13" max="14" width="6.125" bestFit="1" customWidth="1"/>
  </cols>
  <sheetData>
    <row r="1" spans="1:19" x14ac:dyDescent="0.3">
      <c r="A1" s="1" t="s">
        <v>3</v>
      </c>
      <c r="B1" s="1" t="s">
        <v>402</v>
      </c>
      <c r="C1" s="1" t="s">
        <v>403</v>
      </c>
      <c r="D1" s="1" t="s">
        <v>404</v>
      </c>
      <c r="E1" s="9" t="s">
        <v>400</v>
      </c>
      <c r="F1" s="8"/>
      <c r="G1" s="8"/>
      <c r="H1" s="8" t="s">
        <v>399</v>
      </c>
      <c r="I1" s="8"/>
      <c r="J1" s="8"/>
      <c r="K1" s="8" t="s">
        <v>401</v>
      </c>
      <c r="L1" s="8"/>
      <c r="M1" s="8"/>
      <c r="N1" s="5"/>
    </row>
    <row r="2" spans="1:19" x14ac:dyDescent="0.3">
      <c r="A2" s="2">
        <v>39568</v>
      </c>
      <c r="B2" t="s">
        <v>4</v>
      </c>
      <c r="H2" s="6"/>
      <c r="I2" s="6"/>
      <c r="J2" s="6"/>
      <c r="K2" s="3"/>
      <c r="L2" s="3"/>
      <c r="M2" s="3"/>
      <c r="N2" s="3"/>
      <c r="R2" t="s">
        <v>405</v>
      </c>
      <c r="S2">
        <f>COUNT(O:O)</f>
        <v>140</v>
      </c>
    </row>
    <row r="3" spans="1:19" x14ac:dyDescent="0.3">
      <c r="A3" s="2">
        <v>39598</v>
      </c>
      <c r="B3" t="s">
        <v>5</v>
      </c>
      <c r="E3" s="4">
        <f>IFERROR(B3/B2-1,0)</f>
        <v>9.4908959612112209E-3</v>
      </c>
      <c r="F3" s="4">
        <f t="shared" ref="F3:G18" si="0">IFERROR(C3/C2-1,0)</f>
        <v>0</v>
      </c>
      <c r="G3" s="4">
        <f t="shared" si="0"/>
        <v>0</v>
      </c>
      <c r="H3" s="6"/>
      <c r="I3" s="6"/>
      <c r="J3" s="6"/>
      <c r="K3" s="3"/>
      <c r="L3" s="3"/>
      <c r="M3" s="3"/>
      <c r="N3" s="3"/>
      <c r="R3" t="s">
        <v>406</v>
      </c>
      <c r="S3">
        <f ca="1">OFFSET(O13,S2,0)</f>
        <v>1.9888987857917422</v>
      </c>
    </row>
    <row r="4" spans="1:19" x14ac:dyDescent="0.3">
      <c r="A4" s="2">
        <v>39629</v>
      </c>
      <c r="B4" t="s">
        <v>6</v>
      </c>
      <c r="E4" s="4">
        <f t="shared" ref="E4:G67" si="1">IFERROR(B4/B3-1,0)</f>
        <v>-5.3804097899953995E-2</v>
      </c>
      <c r="F4" s="4">
        <f t="shared" si="0"/>
        <v>0</v>
      </c>
      <c r="G4" s="4">
        <f t="shared" si="0"/>
        <v>0</v>
      </c>
      <c r="H4" s="6"/>
      <c r="I4" s="6"/>
      <c r="J4" s="6"/>
      <c r="K4" s="3"/>
      <c r="L4" s="3"/>
      <c r="M4" s="3"/>
      <c r="N4" s="3"/>
      <c r="R4" t="s">
        <v>407</v>
      </c>
      <c r="S4" s="4">
        <f ca="1">S3^(1/(S2-1))^12-1</f>
        <v>6.115667966942584E-2</v>
      </c>
    </row>
    <row r="5" spans="1:19" x14ac:dyDescent="0.3">
      <c r="A5" s="2">
        <v>39660</v>
      </c>
      <c r="B5" t="s">
        <v>7</v>
      </c>
      <c r="E5" s="4">
        <f t="shared" si="1"/>
        <v>-9.0776541743168848E-2</v>
      </c>
      <c r="F5" s="4">
        <f t="shared" si="0"/>
        <v>0</v>
      </c>
      <c r="G5" s="4">
        <f t="shared" si="0"/>
        <v>0</v>
      </c>
      <c r="H5" s="6"/>
      <c r="I5" s="6"/>
      <c r="J5" s="6"/>
      <c r="K5" s="3"/>
      <c r="L5" s="3"/>
      <c r="M5" s="3"/>
      <c r="N5" s="3"/>
      <c r="R5" t="s">
        <v>410</v>
      </c>
      <c r="S5" s="4">
        <f>MIN(P:P)</f>
        <v>-7.6065867369782603E-2</v>
      </c>
    </row>
    <row r="6" spans="1:19" x14ac:dyDescent="0.3">
      <c r="A6" s="2">
        <v>39689</v>
      </c>
      <c r="B6" t="s">
        <v>8</v>
      </c>
      <c r="E6" s="4">
        <f t="shared" si="1"/>
        <v>-6.414444378452222E-2</v>
      </c>
      <c r="F6" s="4">
        <f t="shared" si="0"/>
        <v>0</v>
      </c>
      <c r="G6" s="4">
        <f t="shared" si="0"/>
        <v>0</v>
      </c>
      <c r="H6" s="6"/>
      <c r="I6" s="6"/>
      <c r="J6" s="6"/>
      <c r="K6" s="3"/>
      <c r="L6" s="3"/>
      <c r="M6" s="3"/>
      <c r="N6" s="3"/>
    </row>
    <row r="7" spans="1:19" x14ac:dyDescent="0.3">
      <c r="A7" s="2">
        <v>39721</v>
      </c>
      <c r="B7" t="s">
        <v>9</v>
      </c>
      <c r="E7" s="4">
        <f t="shared" si="1"/>
        <v>-2.963762137462711E-2</v>
      </c>
      <c r="F7" s="4">
        <f t="shared" si="0"/>
        <v>0</v>
      </c>
      <c r="G7" s="4">
        <f t="shared" si="0"/>
        <v>0</v>
      </c>
      <c r="H7" s="6"/>
      <c r="I7" s="6"/>
      <c r="J7" s="6"/>
      <c r="K7" s="3"/>
      <c r="L7" s="3"/>
      <c r="M7" s="3"/>
      <c r="N7" s="3"/>
    </row>
    <row r="8" spans="1:19" x14ac:dyDescent="0.3">
      <c r="A8" s="2">
        <v>39752</v>
      </c>
      <c r="B8" t="s">
        <v>10</v>
      </c>
      <c r="E8" s="4">
        <f t="shared" si="1"/>
        <v>-0.20542838456507517</v>
      </c>
      <c r="F8" s="4">
        <f t="shared" si="0"/>
        <v>0</v>
      </c>
      <c r="G8" s="4">
        <f t="shared" si="0"/>
        <v>0</v>
      </c>
      <c r="H8" s="6"/>
      <c r="I8" s="6"/>
      <c r="J8" s="6"/>
      <c r="K8" s="3"/>
      <c r="L8" s="3"/>
      <c r="M8" s="3"/>
      <c r="N8" s="3"/>
    </row>
    <row r="9" spans="1:19" x14ac:dyDescent="0.3">
      <c r="A9" s="2">
        <v>39780</v>
      </c>
      <c r="B9" t="s">
        <v>11</v>
      </c>
      <c r="E9" s="4">
        <f t="shared" si="1"/>
        <v>-1.2346695201250757E-3</v>
      </c>
      <c r="F9" s="4">
        <f t="shared" si="0"/>
        <v>0</v>
      </c>
      <c r="G9" s="4">
        <f t="shared" si="0"/>
        <v>0</v>
      </c>
      <c r="H9" s="6"/>
      <c r="I9" s="6"/>
      <c r="J9" s="6"/>
      <c r="K9" s="3"/>
      <c r="L9" s="3"/>
      <c r="M9" s="3"/>
      <c r="N9" s="3"/>
    </row>
    <row r="10" spans="1:19" x14ac:dyDescent="0.3">
      <c r="A10" s="2">
        <v>39812</v>
      </c>
      <c r="B10" t="s">
        <v>12</v>
      </c>
      <c r="E10" s="4">
        <f t="shared" si="1"/>
        <v>1.3350914784902024E-2</v>
      </c>
      <c r="F10" s="4">
        <f t="shared" si="0"/>
        <v>0</v>
      </c>
      <c r="G10" s="4">
        <f t="shared" si="0"/>
        <v>0</v>
      </c>
      <c r="H10" s="6"/>
      <c r="I10" s="6"/>
      <c r="J10" s="6"/>
      <c r="K10" s="3"/>
      <c r="L10" s="3"/>
      <c r="M10" s="3"/>
      <c r="N10" s="3"/>
    </row>
    <row r="11" spans="1:19" x14ac:dyDescent="0.3">
      <c r="A11" s="2">
        <v>39843</v>
      </c>
      <c r="B11" t="s">
        <v>13</v>
      </c>
      <c r="E11" s="4">
        <f t="shared" si="1"/>
        <v>3.3669486011711047E-2</v>
      </c>
      <c r="F11" s="4">
        <f t="shared" si="0"/>
        <v>0</v>
      </c>
      <c r="G11" s="4">
        <f t="shared" si="0"/>
        <v>0</v>
      </c>
      <c r="H11" s="6"/>
      <c r="I11" s="6"/>
      <c r="J11" s="6"/>
      <c r="K11" s="3"/>
      <c r="L11" s="3"/>
      <c r="M11" s="3"/>
      <c r="N11" s="3"/>
    </row>
    <row r="12" spans="1:19" x14ac:dyDescent="0.3">
      <c r="A12" s="2">
        <v>39871</v>
      </c>
      <c r="B12" t="s">
        <v>14</v>
      </c>
      <c r="E12" s="4">
        <f t="shared" si="1"/>
        <v>-9.3941778127458742E-2</v>
      </c>
      <c r="F12" s="4">
        <f t="shared" si="0"/>
        <v>0</v>
      </c>
      <c r="G12" s="4">
        <f t="shared" si="0"/>
        <v>0</v>
      </c>
      <c r="H12" s="6"/>
      <c r="I12" s="6"/>
      <c r="J12" s="6"/>
      <c r="K12" s="3"/>
      <c r="L12" s="3"/>
      <c r="M12" s="3"/>
      <c r="N12" s="3"/>
    </row>
    <row r="13" spans="1:19" x14ac:dyDescent="0.3">
      <c r="A13" s="2">
        <v>39903</v>
      </c>
      <c r="B13" t="s">
        <v>15</v>
      </c>
      <c r="E13" s="4">
        <f t="shared" si="1"/>
        <v>0.14458145189301841</v>
      </c>
      <c r="F13" s="4">
        <f t="shared" si="0"/>
        <v>0</v>
      </c>
      <c r="G13" s="4">
        <f t="shared" si="0"/>
        <v>0</v>
      </c>
      <c r="H13" s="6"/>
      <c r="I13" s="6"/>
      <c r="J13" s="6"/>
      <c r="K13" s="3"/>
      <c r="L13" s="3"/>
      <c r="M13" s="3"/>
      <c r="N13" s="3" t="s">
        <v>412</v>
      </c>
      <c r="O13" t="s">
        <v>408</v>
      </c>
      <c r="P13" t="s">
        <v>409</v>
      </c>
      <c r="Q13" t="s">
        <v>411</v>
      </c>
    </row>
    <row r="14" spans="1:19" x14ac:dyDescent="0.3">
      <c r="A14" s="2">
        <v>39933</v>
      </c>
      <c r="B14" t="s">
        <v>16</v>
      </c>
      <c r="E14" s="4">
        <f t="shared" si="1"/>
        <v>0.11251043168196651</v>
      </c>
      <c r="F14" s="4">
        <f t="shared" si="0"/>
        <v>0</v>
      </c>
      <c r="G14" s="4">
        <f t="shared" si="0"/>
        <v>0</v>
      </c>
      <c r="H14" s="7">
        <f>IFERROR(IF(B14/B13&gt;=1,1,0)+ IF(B14/B12&gt;=1,1,0)+ IF(B14/B11&gt;=1,1,0)+ IF(B14/B10&gt;=1,1,0)+ IF(B14/B9&gt;=1,1,0)+ IF(B14/B8&gt;=1,1,0)+ IF(B14/B7&gt;=1,1,0)+ IF(B14/B6&gt;=1,1,0)+ IF(B14/B5&gt;=1,1,0)+ IF(B14/B4&gt;=1,1,0)+ IF(B14/B3&gt;=1,1,0)+ IF(B14/B2&gt;=1,1,0),0)</f>
        <v>6</v>
      </c>
      <c r="I14" s="7">
        <f t="shared" ref="I14:J14" si="2">IFERROR(IF(C14/C13&gt;=1,1,0)+ IF(C14/C12&gt;=1,1,0)+ IF(C14/C11&gt;=1,1,0)+ IF(C14/C10&gt;=1,1,0)+ IF(C14/C9&gt;=1,1,0)+ IF(C14/C8&gt;=1,1,0)+ IF(C14/C7&gt;=1,1,0)+ IF(C14/C6&gt;=1,1,0)+ IF(C14/C5&gt;=1,1,0)+ IF(C14/C4&gt;=1,1,0)+ IF(C14/C3&gt;=1,1,0)+ IF(C14/C2&gt;=1,1,0),0)</f>
        <v>0</v>
      </c>
      <c r="J14" s="7">
        <f t="shared" si="2"/>
        <v>0</v>
      </c>
      <c r="K14" s="3">
        <f t="shared" ref="K14:K66" si="3">H14/SUM($H14:$J14)</f>
        <v>1</v>
      </c>
      <c r="L14" s="3">
        <f t="shared" ref="L14:L66" si="4">I14/SUM($H14:$J14)</f>
        <v>0</v>
      </c>
      <c r="M14" s="3">
        <f t="shared" ref="M14:M77" si="5">J14/SUM($H14:$J14)</f>
        <v>0</v>
      </c>
      <c r="N14" s="3">
        <f>SUM(K14:M14)</f>
        <v>1</v>
      </c>
      <c r="O14">
        <v>1</v>
      </c>
      <c r="P14" s="4">
        <f>O14/MAX(O$14:O14)-1</f>
        <v>0</v>
      </c>
    </row>
    <row r="15" spans="1:19" x14ac:dyDescent="0.3">
      <c r="A15" s="2">
        <v>39962</v>
      </c>
      <c r="B15" t="s">
        <v>17</v>
      </c>
      <c r="E15" s="4">
        <f t="shared" si="1"/>
        <v>1.9026186579378157E-2</v>
      </c>
      <c r="F15" s="4">
        <f t="shared" si="0"/>
        <v>0</v>
      </c>
      <c r="G15" s="4">
        <f t="shared" si="0"/>
        <v>0</v>
      </c>
      <c r="H15" s="7">
        <f t="shared" ref="H15:H78" si="6">IFERROR(IF(B15/B14&gt;=1,1,0)+ IF(B15/B13&gt;=1,1,0)+ IF(B15/B12&gt;=1,1,0)+ IF(B15/B11&gt;=1,1,0)+ IF(B15/B10&gt;=1,1,0)+ IF(B15/B9&gt;=1,1,0)+ IF(B15/B8&gt;=1,1,0)+ IF(B15/B7&gt;=1,1,0)+ IF(B15/B6&gt;=1,1,0)+ IF(B15/B5&gt;=1,1,0)+ IF(B15/B4&gt;=1,1,0)+ IF(B15/B3&gt;=1,1,0),0)</f>
        <v>7</v>
      </c>
      <c r="I15" s="7">
        <f t="shared" ref="I15:I78" si="7">IFERROR(IF(C15/C14&gt;=1,1,0)+ IF(C15/C13&gt;=1,1,0)+ IF(C15/C12&gt;=1,1,0)+ IF(C15/C11&gt;=1,1,0)+ IF(C15/C10&gt;=1,1,0)+ IF(C15/C9&gt;=1,1,0)+ IF(C15/C8&gt;=1,1,0)+ IF(C15/C7&gt;=1,1,0)+ IF(C15/C6&gt;=1,1,0)+ IF(C15/C5&gt;=1,1,0)+ IF(C15/C4&gt;=1,1,0)+ IF(C15/C3&gt;=1,1,0),0)</f>
        <v>0</v>
      </c>
      <c r="J15" s="7">
        <f t="shared" ref="J15:J78" si="8">IFERROR(IF(D15/D14&gt;=1,1,0)+ IF(D15/D13&gt;=1,1,0)+ IF(D15/D12&gt;=1,1,0)+ IF(D15/D11&gt;=1,1,0)+ IF(D15/D10&gt;=1,1,0)+ IF(D15/D9&gt;=1,1,0)+ IF(D15/D8&gt;=1,1,0)+ IF(D15/D7&gt;=1,1,0)+ IF(D15/D6&gt;=1,1,0)+ IF(D15/D5&gt;=1,1,0)+ IF(D15/D4&gt;=1,1,0)+ IF(D15/D3&gt;=1,1,0),0)</f>
        <v>0</v>
      </c>
      <c r="K15" s="3">
        <f t="shared" si="3"/>
        <v>1</v>
      </c>
      <c r="L15" s="3">
        <f t="shared" si="4"/>
        <v>0</v>
      </c>
      <c r="M15" s="3">
        <f t="shared" si="5"/>
        <v>0</v>
      </c>
      <c r="N15" s="3">
        <f t="shared" ref="N15:N78" si="9">SUM(K15:M15)</f>
        <v>1</v>
      </c>
      <c r="O15">
        <f t="shared" ref="O15:O78" si="10">(1+SUMPRODUCT(K14:M14,E15:G15))*O14</f>
        <v>1.0190261865793782</v>
      </c>
      <c r="P15" s="4">
        <f>O15/MAX(O$14:O15)-1</f>
        <v>0</v>
      </c>
      <c r="Q15" s="4">
        <f>O15/O14-1</f>
        <v>1.9026186579378157E-2</v>
      </c>
    </row>
    <row r="16" spans="1:19" x14ac:dyDescent="0.3">
      <c r="A16" s="2">
        <v>39994</v>
      </c>
      <c r="B16" t="s">
        <v>18</v>
      </c>
      <c r="E16" s="4">
        <f t="shared" si="1"/>
        <v>1.4655691628187029E-2</v>
      </c>
      <c r="F16" s="4">
        <f t="shared" si="0"/>
        <v>0</v>
      </c>
      <c r="G16" s="4">
        <f t="shared" si="0"/>
        <v>0</v>
      </c>
      <c r="H16" s="7">
        <f t="shared" si="6"/>
        <v>8</v>
      </c>
      <c r="I16" s="7">
        <f t="shared" si="7"/>
        <v>0</v>
      </c>
      <c r="J16" s="7">
        <f t="shared" si="8"/>
        <v>0</v>
      </c>
      <c r="K16" s="3">
        <f t="shared" si="3"/>
        <v>1</v>
      </c>
      <c r="L16" s="3">
        <f t="shared" si="4"/>
        <v>0</v>
      </c>
      <c r="M16" s="3">
        <f t="shared" si="5"/>
        <v>0</v>
      </c>
      <c r="N16" s="3">
        <f t="shared" si="9"/>
        <v>1</v>
      </c>
      <c r="O16">
        <f t="shared" si="10"/>
        <v>1.0339607201309329</v>
      </c>
      <c r="P16" s="4">
        <f>O16/MAX(O$14:O16)-1</f>
        <v>0</v>
      </c>
      <c r="Q16" s="4">
        <f t="shared" ref="Q16:Q79" si="11">O16/O15-1</f>
        <v>1.4655691628187029E-2</v>
      </c>
    </row>
    <row r="17" spans="1:17" x14ac:dyDescent="0.3">
      <c r="A17" s="2">
        <v>40025</v>
      </c>
      <c r="B17" t="s">
        <v>19</v>
      </c>
      <c r="D17" t="s">
        <v>265</v>
      </c>
      <c r="E17" s="4">
        <f t="shared" si="1"/>
        <v>0.11845402981137054</v>
      </c>
      <c r="F17" s="4">
        <f t="shared" si="0"/>
        <v>0</v>
      </c>
      <c r="G17" s="4">
        <f t="shared" si="0"/>
        <v>0</v>
      </c>
      <c r="H17" s="7">
        <f t="shared" si="6"/>
        <v>12</v>
      </c>
      <c r="I17" s="7">
        <f t="shared" si="7"/>
        <v>0</v>
      </c>
      <c r="J17" s="7">
        <f t="shared" si="8"/>
        <v>0</v>
      </c>
      <c r="K17" s="3">
        <f t="shared" si="3"/>
        <v>1</v>
      </c>
      <c r="L17" s="3">
        <f t="shared" si="4"/>
        <v>0</v>
      </c>
      <c r="M17" s="3">
        <f t="shared" si="5"/>
        <v>0</v>
      </c>
      <c r="N17" s="3">
        <f t="shared" si="9"/>
        <v>1</v>
      </c>
      <c r="O17">
        <f t="shared" si="10"/>
        <v>1.1564375340971085</v>
      </c>
      <c r="P17" s="4">
        <f>O17/MAX(O$14:O17)-1</f>
        <v>0</v>
      </c>
      <c r="Q17" s="4">
        <f t="shared" si="11"/>
        <v>0.11845402981137054</v>
      </c>
    </row>
    <row r="18" spans="1:17" x14ac:dyDescent="0.3">
      <c r="A18" s="2">
        <v>40056</v>
      </c>
      <c r="B18" t="s">
        <v>20</v>
      </c>
      <c r="D18" t="s">
        <v>266</v>
      </c>
      <c r="E18" s="4">
        <f t="shared" si="1"/>
        <v>1.8162519164995894E-2</v>
      </c>
      <c r="F18" s="4">
        <f t="shared" si="0"/>
        <v>0</v>
      </c>
      <c r="G18" s="4">
        <f t="shared" si="0"/>
        <v>-3.4647811413245355E-3</v>
      </c>
      <c r="H18" s="7">
        <f t="shared" si="6"/>
        <v>12</v>
      </c>
      <c r="I18" s="7">
        <f t="shared" si="7"/>
        <v>0</v>
      </c>
      <c r="J18" s="7">
        <f t="shared" si="8"/>
        <v>0</v>
      </c>
      <c r="K18" s="3">
        <f t="shared" si="3"/>
        <v>1</v>
      </c>
      <c r="L18" s="3">
        <f t="shared" si="4"/>
        <v>0</v>
      </c>
      <c r="M18" s="3">
        <f t="shared" si="5"/>
        <v>0</v>
      </c>
      <c r="N18" s="3">
        <f t="shared" si="9"/>
        <v>1</v>
      </c>
      <c r="O18">
        <f t="shared" si="10"/>
        <v>1.1774413529732679</v>
      </c>
      <c r="P18" s="4">
        <f>O18/MAX(O$14:O18)-1</f>
        <v>0</v>
      </c>
      <c r="Q18" s="4">
        <f t="shared" si="11"/>
        <v>1.8162519164995894E-2</v>
      </c>
    </row>
    <row r="19" spans="1:17" x14ac:dyDescent="0.3">
      <c r="A19" s="2">
        <v>40086</v>
      </c>
      <c r="B19" t="s">
        <v>21</v>
      </c>
      <c r="D19" t="s">
        <v>267</v>
      </c>
      <c r="E19" s="4">
        <f t="shared" si="1"/>
        <v>6.2840264102861143E-2</v>
      </c>
      <c r="F19" s="4">
        <f t="shared" si="1"/>
        <v>0</v>
      </c>
      <c r="G19" s="4">
        <f t="shared" si="1"/>
        <v>5.8848526211416896E-3</v>
      </c>
      <c r="H19" s="7">
        <f t="shared" si="6"/>
        <v>12</v>
      </c>
      <c r="I19" s="7">
        <f t="shared" si="7"/>
        <v>0</v>
      </c>
      <c r="J19" s="7">
        <f t="shared" si="8"/>
        <v>0</v>
      </c>
      <c r="K19" s="3">
        <f t="shared" si="3"/>
        <v>1</v>
      </c>
      <c r="L19" s="3">
        <f t="shared" si="4"/>
        <v>0</v>
      </c>
      <c r="M19" s="3">
        <f t="shared" si="5"/>
        <v>0</v>
      </c>
      <c r="N19" s="3">
        <f t="shared" si="9"/>
        <v>1</v>
      </c>
      <c r="O19">
        <f t="shared" si="10"/>
        <v>1.2514320785597381</v>
      </c>
      <c r="P19" s="4">
        <f>O19/MAX(O$14:O19)-1</f>
        <v>0</v>
      </c>
      <c r="Q19" s="4">
        <f t="shared" si="11"/>
        <v>6.2840264102861143E-2</v>
      </c>
    </row>
    <row r="20" spans="1:17" x14ac:dyDescent="0.3">
      <c r="A20" s="2">
        <v>40116</v>
      </c>
      <c r="B20" t="s">
        <v>22</v>
      </c>
      <c r="D20" t="s">
        <v>268</v>
      </c>
      <c r="E20" s="4">
        <f t="shared" si="1"/>
        <v>-6.1958476377309113E-2</v>
      </c>
      <c r="F20" s="4">
        <f t="shared" si="1"/>
        <v>0</v>
      </c>
      <c r="G20" s="4">
        <f t="shared" si="1"/>
        <v>1.6642343241923818E-4</v>
      </c>
      <c r="H20" s="7">
        <f t="shared" si="6"/>
        <v>10</v>
      </c>
      <c r="I20" s="7">
        <f t="shared" si="7"/>
        <v>0</v>
      </c>
      <c r="J20" s="7">
        <f t="shared" si="8"/>
        <v>0</v>
      </c>
      <c r="K20" s="3">
        <f t="shared" si="3"/>
        <v>1</v>
      </c>
      <c r="L20" s="3">
        <f t="shared" si="4"/>
        <v>0</v>
      </c>
      <c r="M20" s="3">
        <f t="shared" si="5"/>
        <v>0</v>
      </c>
      <c r="N20" s="3">
        <f t="shared" si="9"/>
        <v>1</v>
      </c>
      <c r="O20">
        <f t="shared" si="10"/>
        <v>1.1738952536824878</v>
      </c>
      <c r="P20" s="4">
        <f>O20/MAX(O$14:O20)-1</f>
        <v>-6.1958476377309113E-2</v>
      </c>
      <c r="Q20" s="4">
        <f t="shared" si="11"/>
        <v>-6.1958476377309113E-2</v>
      </c>
    </row>
    <row r="21" spans="1:17" x14ac:dyDescent="0.3">
      <c r="A21" s="2">
        <v>40147</v>
      </c>
      <c r="B21" t="s">
        <v>23</v>
      </c>
      <c r="D21" t="s">
        <v>269</v>
      </c>
      <c r="E21" s="4">
        <f t="shared" si="1"/>
        <v>-9.2947600790054263E-3</v>
      </c>
      <c r="F21" s="4">
        <f t="shared" si="1"/>
        <v>0</v>
      </c>
      <c r="G21" s="4">
        <f t="shared" si="1"/>
        <v>1.501401564119953E-2</v>
      </c>
      <c r="H21" s="7">
        <f t="shared" si="6"/>
        <v>9</v>
      </c>
      <c r="I21" s="7">
        <f t="shared" si="7"/>
        <v>0</v>
      </c>
      <c r="J21" s="7">
        <f t="shared" si="8"/>
        <v>0</v>
      </c>
      <c r="K21" s="3">
        <f t="shared" si="3"/>
        <v>1</v>
      </c>
      <c r="L21" s="3">
        <f t="shared" si="4"/>
        <v>0</v>
      </c>
      <c r="M21" s="3">
        <f t="shared" si="5"/>
        <v>0</v>
      </c>
      <c r="N21" s="3">
        <f t="shared" si="9"/>
        <v>1</v>
      </c>
      <c r="O21">
        <f t="shared" si="10"/>
        <v>1.162984178941626</v>
      </c>
      <c r="P21" s="4">
        <f>O21/MAX(O$14:O21)-1</f>
        <v>-7.0677347283526593E-2</v>
      </c>
      <c r="Q21" s="4">
        <f t="shared" si="11"/>
        <v>-9.2947600790053153E-3</v>
      </c>
    </row>
    <row r="22" spans="1:17" x14ac:dyDescent="0.3">
      <c r="A22" s="2">
        <v>40177</v>
      </c>
      <c r="B22" t="s">
        <v>24</v>
      </c>
      <c r="D22" t="s">
        <v>270</v>
      </c>
      <c r="E22" s="4">
        <f t="shared" si="1"/>
        <v>9.516828896446583E-2</v>
      </c>
      <c r="F22" s="4">
        <f t="shared" si="1"/>
        <v>0</v>
      </c>
      <c r="G22" s="4">
        <f t="shared" si="1"/>
        <v>-4.6279949558638567E-3</v>
      </c>
      <c r="H22" s="7">
        <f t="shared" si="6"/>
        <v>12</v>
      </c>
      <c r="I22" s="7">
        <f t="shared" si="7"/>
        <v>0</v>
      </c>
      <c r="J22" s="7">
        <f t="shared" si="8"/>
        <v>0</v>
      </c>
      <c r="K22" s="3">
        <f t="shared" si="3"/>
        <v>1</v>
      </c>
      <c r="L22" s="3">
        <f t="shared" si="4"/>
        <v>0</v>
      </c>
      <c r="M22" s="3">
        <f t="shared" si="5"/>
        <v>0</v>
      </c>
      <c r="N22" s="3">
        <f t="shared" si="9"/>
        <v>1</v>
      </c>
      <c r="O22">
        <f t="shared" si="10"/>
        <v>1.2736633933442447</v>
      </c>
      <c r="P22" s="4">
        <f>O22/MAX(O$14:O22)-1</f>
        <v>0</v>
      </c>
      <c r="Q22" s="4">
        <f t="shared" si="11"/>
        <v>9.516828896446583E-2</v>
      </c>
    </row>
    <row r="23" spans="1:17" x14ac:dyDescent="0.3">
      <c r="A23" s="2">
        <v>40207</v>
      </c>
      <c r="B23" t="s">
        <v>25</v>
      </c>
      <c r="D23" t="s">
        <v>271</v>
      </c>
      <c r="E23" s="4">
        <f t="shared" si="1"/>
        <v>-5.2899287894201397E-2</v>
      </c>
      <c r="F23" s="4">
        <f t="shared" si="1"/>
        <v>0</v>
      </c>
      <c r="G23" s="4">
        <f t="shared" si="1"/>
        <v>8.2348320727705371E-3</v>
      </c>
      <c r="H23" s="7">
        <f t="shared" si="6"/>
        <v>10</v>
      </c>
      <c r="I23" s="7">
        <f t="shared" si="7"/>
        <v>0</v>
      </c>
      <c r="J23" s="7">
        <f t="shared" si="8"/>
        <v>0</v>
      </c>
      <c r="K23" s="3">
        <f t="shared" si="3"/>
        <v>1</v>
      </c>
      <c r="L23" s="3">
        <f t="shared" si="4"/>
        <v>0</v>
      </c>
      <c r="M23" s="3">
        <f t="shared" si="5"/>
        <v>0</v>
      </c>
      <c r="N23" s="3">
        <f t="shared" si="9"/>
        <v>1</v>
      </c>
      <c r="O23">
        <f t="shared" si="10"/>
        <v>1.2062875068194221</v>
      </c>
      <c r="P23" s="4">
        <f>O23/MAX(O$14:O23)-1</f>
        <v>-5.2899287894201397E-2</v>
      </c>
      <c r="Q23" s="4">
        <f t="shared" si="11"/>
        <v>-5.2899287894201397E-2</v>
      </c>
    </row>
    <row r="24" spans="1:17" x14ac:dyDescent="0.3">
      <c r="A24" s="2">
        <v>40235</v>
      </c>
      <c r="B24" t="s">
        <v>26</v>
      </c>
      <c r="D24" t="s">
        <v>272</v>
      </c>
      <c r="E24" s="4">
        <f t="shared" si="1"/>
        <v>-8.1406523828367883E-3</v>
      </c>
      <c r="F24" s="4">
        <f t="shared" si="1"/>
        <v>0</v>
      </c>
      <c r="G24" s="4">
        <f t="shared" si="1"/>
        <v>8.9089378384830109E-3</v>
      </c>
      <c r="H24" s="7">
        <f t="shared" si="6"/>
        <v>9</v>
      </c>
      <c r="I24" s="7">
        <f t="shared" si="7"/>
        <v>0</v>
      </c>
      <c r="J24" s="7">
        <f t="shared" si="8"/>
        <v>0</v>
      </c>
      <c r="K24" s="3">
        <f t="shared" si="3"/>
        <v>1</v>
      </c>
      <c r="L24" s="3">
        <f t="shared" si="4"/>
        <v>0</v>
      </c>
      <c r="M24" s="3">
        <f t="shared" si="5"/>
        <v>0</v>
      </c>
      <c r="N24" s="3">
        <f t="shared" si="9"/>
        <v>1</v>
      </c>
      <c r="O24">
        <f t="shared" si="10"/>
        <v>1.1964675395526463</v>
      </c>
      <c r="P24" s="4">
        <f>O24/MAX(O$14:O24)-1</f>
        <v>-6.0609305562991822E-2</v>
      </c>
      <c r="Q24" s="4">
        <f t="shared" si="11"/>
        <v>-8.1406523828367883E-3</v>
      </c>
    </row>
    <row r="25" spans="1:17" x14ac:dyDescent="0.3">
      <c r="A25" s="2">
        <v>40268</v>
      </c>
      <c r="B25" t="s">
        <v>27</v>
      </c>
      <c r="D25" t="s">
        <v>273</v>
      </c>
      <c r="E25" s="4">
        <f t="shared" si="1"/>
        <v>6.406383585066977E-2</v>
      </c>
      <c r="F25" s="4">
        <f t="shared" si="1"/>
        <v>0</v>
      </c>
      <c r="G25" s="4">
        <f t="shared" si="1"/>
        <v>9.6273601355054694E-3</v>
      </c>
      <c r="H25" s="7">
        <f t="shared" si="6"/>
        <v>11</v>
      </c>
      <c r="I25" s="7">
        <f t="shared" si="7"/>
        <v>0</v>
      </c>
      <c r="J25" s="7">
        <f t="shared" si="8"/>
        <v>0</v>
      </c>
      <c r="K25" s="3">
        <f t="shared" si="3"/>
        <v>1</v>
      </c>
      <c r="L25" s="3">
        <f t="shared" si="4"/>
        <v>0</v>
      </c>
      <c r="M25" s="3">
        <f t="shared" si="5"/>
        <v>0</v>
      </c>
      <c r="N25" s="3">
        <f t="shared" si="9"/>
        <v>1</v>
      </c>
      <c r="O25">
        <f t="shared" si="10"/>
        <v>1.2731178396072018</v>
      </c>
      <c r="P25" s="4">
        <f>O25/MAX(O$14:O25)-1</f>
        <v>-4.2833431493261021E-4</v>
      </c>
      <c r="Q25" s="4">
        <f t="shared" si="11"/>
        <v>6.406383585066977E-2</v>
      </c>
    </row>
    <row r="26" spans="1:17" x14ac:dyDescent="0.3">
      <c r="A26" s="2">
        <v>40298</v>
      </c>
      <c r="B26" t="s">
        <v>28</v>
      </c>
      <c r="D26" t="s">
        <v>274</v>
      </c>
      <c r="E26" s="4">
        <f t="shared" si="1"/>
        <v>2.9514167871873109E-2</v>
      </c>
      <c r="F26" s="4">
        <f t="shared" si="1"/>
        <v>0</v>
      </c>
      <c r="G26" s="4">
        <f t="shared" si="1"/>
        <v>1.0189354221920688E-2</v>
      </c>
      <c r="H26" s="7">
        <f t="shared" si="6"/>
        <v>12</v>
      </c>
      <c r="I26" s="7">
        <f t="shared" si="7"/>
        <v>0</v>
      </c>
      <c r="J26" s="7">
        <f t="shared" si="8"/>
        <v>0</v>
      </c>
      <c r="K26" s="3">
        <f t="shared" si="3"/>
        <v>1</v>
      </c>
      <c r="L26" s="3">
        <f t="shared" si="4"/>
        <v>0</v>
      </c>
      <c r="M26" s="3">
        <f t="shared" si="5"/>
        <v>0</v>
      </c>
      <c r="N26" s="3">
        <f t="shared" si="9"/>
        <v>1</v>
      </c>
      <c r="O26">
        <f t="shared" si="10"/>
        <v>1.3106928532460451</v>
      </c>
      <c r="P26" s="4">
        <f>O26/MAX(O$14:O26)-1</f>
        <v>0</v>
      </c>
      <c r="Q26" s="4">
        <f t="shared" si="11"/>
        <v>2.9514167871873109E-2</v>
      </c>
    </row>
    <row r="27" spans="1:17" x14ac:dyDescent="0.3">
      <c r="A27" s="2">
        <v>40329</v>
      </c>
      <c r="B27" t="s">
        <v>29</v>
      </c>
      <c r="D27" t="s">
        <v>275</v>
      </c>
      <c r="E27" s="4">
        <f t="shared" si="1"/>
        <v>4.5837669094693112E-2</v>
      </c>
      <c r="F27" s="4">
        <f t="shared" si="1"/>
        <v>0</v>
      </c>
      <c r="G27" s="4">
        <f t="shared" si="1"/>
        <v>1.8072804093245409E-3</v>
      </c>
      <c r="H27" s="7">
        <f t="shared" si="6"/>
        <v>12</v>
      </c>
      <c r="I27" s="7">
        <f t="shared" si="7"/>
        <v>0</v>
      </c>
      <c r="J27" s="7">
        <f t="shared" si="8"/>
        <v>0</v>
      </c>
      <c r="K27" s="3">
        <f t="shared" si="3"/>
        <v>1</v>
      </c>
      <c r="L27" s="3">
        <f t="shared" si="4"/>
        <v>0</v>
      </c>
      <c r="M27" s="3">
        <f t="shared" si="5"/>
        <v>0</v>
      </c>
      <c r="N27" s="3">
        <f t="shared" si="9"/>
        <v>1</v>
      </c>
      <c r="O27">
        <f t="shared" si="10"/>
        <v>1.3707719585379166</v>
      </c>
      <c r="P27" s="4">
        <f>O27/MAX(O$14:O27)-1</f>
        <v>0</v>
      </c>
      <c r="Q27" s="4">
        <f t="shared" si="11"/>
        <v>4.5837669094693112E-2</v>
      </c>
    </row>
    <row r="28" spans="1:17" x14ac:dyDescent="0.3">
      <c r="A28" s="2">
        <v>40359</v>
      </c>
      <c r="B28" t="s">
        <v>30</v>
      </c>
      <c r="D28" t="s">
        <v>276</v>
      </c>
      <c r="E28" s="4">
        <f t="shared" si="1"/>
        <v>-7.6065867369782603E-2</v>
      </c>
      <c r="F28" s="4">
        <f t="shared" si="1"/>
        <v>0</v>
      </c>
      <c r="G28" s="4">
        <f t="shared" si="1"/>
        <v>-1.1945538097734021E-3</v>
      </c>
      <c r="H28" s="7">
        <f t="shared" si="6"/>
        <v>8</v>
      </c>
      <c r="I28" s="7">
        <f t="shared" si="7"/>
        <v>0</v>
      </c>
      <c r="J28" s="7">
        <f t="shared" si="8"/>
        <v>0</v>
      </c>
      <c r="K28" s="3">
        <f t="shared" si="3"/>
        <v>1</v>
      </c>
      <c r="L28" s="3">
        <f t="shared" si="4"/>
        <v>0</v>
      </c>
      <c r="M28" s="3">
        <f t="shared" si="5"/>
        <v>0</v>
      </c>
      <c r="N28" s="3">
        <f t="shared" si="9"/>
        <v>1</v>
      </c>
      <c r="O28">
        <f t="shared" si="10"/>
        <v>1.2665030005455542</v>
      </c>
      <c r="P28" s="4">
        <f>O28/MAX(O$14:O28)-1</f>
        <v>-7.6065867369782603E-2</v>
      </c>
      <c r="Q28" s="4">
        <f t="shared" si="11"/>
        <v>-7.6065867369782603E-2</v>
      </c>
    </row>
    <row r="29" spans="1:17" x14ac:dyDescent="0.3">
      <c r="A29" s="2">
        <v>40389</v>
      </c>
      <c r="B29" t="s">
        <v>31</v>
      </c>
      <c r="D29" t="s">
        <v>277</v>
      </c>
      <c r="E29" s="4">
        <f t="shared" si="1"/>
        <v>4.1783329743700248E-2</v>
      </c>
      <c r="F29" s="4">
        <f t="shared" si="1"/>
        <v>0</v>
      </c>
      <c r="G29" s="4">
        <f t="shared" si="1"/>
        <v>5.6259991945424304E-3</v>
      </c>
      <c r="H29" s="7">
        <f t="shared" si="6"/>
        <v>11</v>
      </c>
      <c r="I29" s="7">
        <f t="shared" si="7"/>
        <v>0</v>
      </c>
      <c r="J29" s="7">
        <f t="shared" si="8"/>
        <v>12</v>
      </c>
      <c r="K29" s="3">
        <f t="shared" si="3"/>
        <v>0.47826086956521741</v>
      </c>
      <c r="L29" s="3">
        <f t="shared" si="4"/>
        <v>0</v>
      </c>
      <c r="M29" s="3">
        <f t="shared" si="5"/>
        <v>0.52173913043478259</v>
      </c>
      <c r="N29" s="3">
        <f t="shared" si="9"/>
        <v>1</v>
      </c>
      <c r="O29">
        <f t="shared" si="10"/>
        <v>1.3194217130387349</v>
      </c>
      <c r="P29" s="4">
        <f>O29/MAX(O$14:O29)-1</f>
        <v>-3.7460822844634589E-2</v>
      </c>
      <c r="Q29" s="4">
        <f t="shared" si="11"/>
        <v>4.1783329743700248E-2</v>
      </c>
    </row>
    <row r="30" spans="1:17" x14ac:dyDescent="0.3">
      <c r="A30" s="2">
        <v>40421</v>
      </c>
      <c r="B30" t="s">
        <v>32</v>
      </c>
      <c r="D30" t="s">
        <v>278</v>
      </c>
      <c r="E30" s="4">
        <f t="shared" si="1"/>
        <v>-1.4265040314244359E-2</v>
      </c>
      <c r="F30" s="4">
        <f t="shared" si="1"/>
        <v>0</v>
      </c>
      <c r="G30" s="4">
        <f t="shared" si="1"/>
        <v>1.1759423314968043E-2</v>
      </c>
      <c r="H30" s="7">
        <f t="shared" si="6"/>
        <v>9</v>
      </c>
      <c r="I30" s="7">
        <f t="shared" si="7"/>
        <v>0</v>
      </c>
      <c r="J30" s="7">
        <f t="shared" si="8"/>
        <v>12</v>
      </c>
      <c r="K30" s="3">
        <f t="shared" si="3"/>
        <v>0.42857142857142855</v>
      </c>
      <c r="L30" s="3">
        <f t="shared" si="4"/>
        <v>0</v>
      </c>
      <c r="M30" s="3">
        <f t="shared" si="5"/>
        <v>0.5714285714285714</v>
      </c>
      <c r="N30" s="3">
        <f t="shared" si="9"/>
        <v>1</v>
      </c>
      <c r="O30">
        <f t="shared" si="10"/>
        <v>1.3185151920929583</v>
      </c>
      <c r="P30" s="4">
        <f>O30/MAX(O$14:O30)-1</f>
        <v>-3.8122144328584073E-2</v>
      </c>
      <c r="Q30" s="4">
        <f t="shared" si="11"/>
        <v>-6.8705929030743462E-4</v>
      </c>
    </row>
    <row r="31" spans="1:17" x14ac:dyDescent="0.3">
      <c r="A31" s="2">
        <v>40451</v>
      </c>
      <c r="B31" t="s">
        <v>33</v>
      </c>
      <c r="D31" t="s">
        <v>279</v>
      </c>
      <c r="E31" s="4">
        <f t="shared" si="1"/>
        <v>7.1361157718120793E-2</v>
      </c>
      <c r="F31" s="4">
        <f t="shared" si="1"/>
        <v>0</v>
      </c>
      <c r="G31" s="4">
        <f t="shared" si="1"/>
        <v>1.0459272408871234E-2</v>
      </c>
      <c r="H31" s="7">
        <f t="shared" si="6"/>
        <v>12</v>
      </c>
      <c r="I31" s="7">
        <f t="shared" si="7"/>
        <v>0</v>
      </c>
      <c r="J31" s="7">
        <f t="shared" si="8"/>
        <v>12</v>
      </c>
      <c r="K31" s="3">
        <f t="shared" si="3"/>
        <v>0.5</v>
      </c>
      <c r="L31" s="3">
        <f t="shared" si="4"/>
        <v>0</v>
      </c>
      <c r="M31" s="3">
        <f t="shared" si="5"/>
        <v>0.5</v>
      </c>
      <c r="N31" s="3">
        <f t="shared" si="9"/>
        <v>1</v>
      </c>
      <c r="O31">
        <f t="shared" si="10"/>
        <v>1.3667202135225858</v>
      </c>
      <c r="P31" s="4">
        <f>O31/MAX(O$14:O31)-1</f>
        <v>-2.9558125916526734E-3</v>
      </c>
      <c r="Q31" s="4">
        <f t="shared" si="11"/>
        <v>3.6560080398549522E-2</v>
      </c>
    </row>
    <row r="32" spans="1:17" x14ac:dyDescent="0.3">
      <c r="A32" s="2">
        <v>40480</v>
      </c>
      <c r="B32" t="s">
        <v>34</v>
      </c>
      <c r="D32" t="s">
        <v>280</v>
      </c>
      <c r="E32" s="4">
        <f t="shared" si="1"/>
        <v>-6.8516615279201609E-4</v>
      </c>
      <c r="F32" s="4">
        <f t="shared" si="1"/>
        <v>0</v>
      </c>
      <c r="G32" s="4">
        <f t="shared" si="1"/>
        <v>1.7093408354402762E-3</v>
      </c>
      <c r="H32" s="7">
        <f t="shared" si="6"/>
        <v>11</v>
      </c>
      <c r="I32" s="7">
        <f t="shared" si="7"/>
        <v>0</v>
      </c>
      <c r="J32" s="7">
        <f t="shared" si="8"/>
        <v>12</v>
      </c>
      <c r="K32" s="3">
        <f t="shared" si="3"/>
        <v>0.47826086956521741</v>
      </c>
      <c r="L32" s="3">
        <f t="shared" si="4"/>
        <v>0</v>
      </c>
      <c r="M32" s="3">
        <f t="shared" si="5"/>
        <v>0.52173913043478259</v>
      </c>
      <c r="N32" s="3">
        <f t="shared" si="9"/>
        <v>1</v>
      </c>
      <c r="O32">
        <f t="shared" si="10"/>
        <v>1.3674200936430623</v>
      </c>
      <c r="P32" s="4">
        <f>O32/MAX(O$14:O32)-1</f>
        <v>-2.4452388845401796E-3</v>
      </c>
      <c r="Q32" s="4">
        <f t="shared" si="11"/>
        <v>5.1208734132401901E-4</v>
      </c>
    </row>
    <row r="33" spans="1:17" x14ac:dyDescent="0.3">
      <c r="A33" s="2">
        <v>40512</v>
      </c>
      <c r="B33" t="s">
        <v>35</v>
      </c>
      <c r="D33" t="s">
        <v>281</v>
      </c>
      <c r="E33" s="4">
        <f t="shared" si="1"/>
        <v>3.256770654782315E-2</v>
      </c>
      <c r="F33" s="4">
        <f t="shared" si="1"/>
        <v>0</v>
      </c>
      <c r="G33" s="4">
        <f t="shared" si="1"/>
        <v>3.8987047768022087E-3</v>
      </c>
      <c r="H33" s="7">
        <f t="shared" si="6"/>
        <v>12</v>
      </c>
      <c r="I33" s="7">
        <f t="shared" si="7"/>
        <v>0</v>
      </c>
      <c r="J33" s="7">
        <f t="shared" si="8"/>
        <v>12</v>
      </c>
      <c r="K33" s="3">
        <f t="shared" si="3"/>
        <v>0.5</v>
      </c>
      <c r="L33" s="3">
        <f t="shared" si="4"/>
        <v>0</v>
      </c>
      <c r="M33" s="3">
        <f t="shared" si="5"/>
        <v>0.5</v>
      </c>
      <c r="N33" s="3">
        <f t="shared" si="9"/>
        <v>1</v>
      </c>
      <c r="O33">
        <f t="shared" si="10"/>
        <v>1.3915003156744878</v>
      </c>
      <c r="P33" s="4">
        <f>O33/MAX(O$14:O33)-1</f>
        <v>0</v>
      </c>
      <c r="Q33" s="4">
        <f t="shared" si="11"/>
        <v>1.7609966493377538E-2</v>
      </c>
    </row>
    <row r="34" spans="1:17" x14ac:dyDescent="0.3">
      <c r="A34" s="2">
        <v>40542</v>
      </c>
      <c r="B34" t="s">
        <v>36</v>
      </c>
      <c r="D34" t="s">
        <v>282</v>
      </c>
      <c r="E34" s="4">
        <f t="shared" si="1"/>
        <v>9.5238095238095344E-2</v>
      </c>
      <c r="F34" s="4">
        <f t="shared" si="1"/>
        <v>0</v>
      </c>
      <c r="G34" s="4">
        <f t="shared" si="1"/>
        <v>-1.6525803862316168E-3</v>
      </c>
      <c r="H34" s="7">
        <f t="shared" si="6"/>
        <v>12</v>
      </c>
      <c r="I34" s="7">
        <f t="shared" si="7"/>
        <v>0</v>
      </c>
      <c r="J34" s="7">
        <f t="shared" si="8"/>
        <v>11</v>
      </c>
      <c r="K34" s="3">
        <f t="shared" si="3"/>
        <v>0.52173913043478259</v>
      </c>
      <c r="L34" s="3">
        <f t="shared" si="4"/>
        <v>0</v>
      </c>
      <c r="M34" s="3">
        <f t="shared" si="5"/>
        <v>0.47826086956521741</v>
      </c>
      <c r="N34" s="3">
        <f t="shared" si="9"/>
        <v>1</v>
      </c>
      <c r="O34">
        <f t="shared" si="10"/>
        <v>1.4566124524039519</v>
      </c>
      <c r="P34" s="4">
        <f>O34/MAX(O$14:O34)-1</f>
        <v>0</v>
      </c>
      <c r="Q34" s="4">
        <f t="shared" si="11"/>
        <v>4.6792757425931919E-2</v>
      </c>
    </row>
    <row r="35" spans="1:17" x14ac:dyDescent="0.3">
      <c r="A35" s="2">
        <v>40574</v>
      </c>
      <c r="B35" t="s">
        <v>37</v>
      </c>
      <c r="D35" t="s">
        <v>283</v>
      </c>
      <c r="E35" s="4">
        <f t="shared" si="1"/>
        <v>6.1493157803569343E-3</v>
      </c>
      <c r="F35" s="4">
        <f t="shared" si="1"/>
        <v>0</v>
      </c>
      <c r="G35" s="4">
        <f t="shared" si="1"/>
        <v>-9.458948164964065E-3</v>
      </c>
      <c r="H35" s="7">
        <f t="shared" si="6"/>
        <v>12</v>
      </c>
      <c r="I35" s="7">
        <f t="shared" si="7"/>
        <v>0</v>
      </c>
      <c r="J35" s="7">
        <f t="shared" si="8"/>
        <v>8</v>
      </c>
      <c r="K35" s="3">
        <f t="shared" si="3"/>
        <v>0.6</v>
      </c>
      <c r="L35" s="3">
        <f t="shared" si="4"/>
        <v>0</v>
      </c>
      <c r="M35" s="3">
        <f t="shared" si="5"/>
        <v>0.4</v>
      </c>
      <c r="N35" s="3">
        <f t="shared" si="9"/>
        <v>1</v>
      </c>
      <c r="O35">
        <f t="shared" si="10"/>
        <v>1.4546962698279584</v>
      </c>
      <c r="P35" s="4">
        <f>O35/MAX(O$14:O35)-1</f>
        <v>-1.3155061065357465E-3</v>
      </c>
      <c r="Q35" s="4">
        <f t="shared" si="11"/>
        <v>-1.3155061065357465E-3</v>
      </c>
    </row>
    <row r="36" spans="1:17" x14ac:dyDescent="0.3">
      <c r="A36" s="2">
        <v>40602</v>
      </c>
      <c r="B36" t="s">
        <v>38</v>
      </c>
      <c r="D36" t="s">
        <v>284</v>
      </c>
      <c r="E36" s="4">
        <f t="shared" si="1"/>
        <v>-5.8018421279159904E-2</v>
      </c>
      <c r="F36" s="4">
        <f t="shared" si="1"/>
        <v>0</v>
      </c>
      <c r="G36" s="4">
        <f t="shared" si="1"/>
        <v>8.9285714285713969E-3</v>
      </c>
      <c r="H36" s="7">
        <f t="shared" si="6"/>
        <v>10</v>
      </c>
      <c r="I36" s="7">
        <f t="shared" si="7"/>
        <v>0</v>
      </c>
      <c r="J36" s="7">
        <f t="shared" si="8"/>
        <v>10</v>
      </c>
      <c r="K36" s="3">
        <f t="shared" si="3"/>
        <v>0.5</v>
      </c>
      <c r="L36" s="3">
        <f t="shared" si="4"/>
        <v>0</v>
      </c>
      <c r="M36" s="3">
        <f t="shared" si="5"/>
        <v>0.5</v>
      </c>
      <c r="N36" s="3">
        <f t="shared" si="9"/>
        <v>1</v>
      </c>
      <c r="O36">
        <f t="shared" si="10"/>
        <v>1.409252105039112</v>
      </c>
      <c r="P36" s="4">
        <f>O36/MAX(O$14:O36)-1</f>
        <v>-3.2514034386207258E-2</v>
      </c>
      <c r="Q36" s="4">
        <f t="shared" si="11"/>
        <v>-3.1239624196067295E-2</v>
      </c>
    </row>
    <row r="37" spans="1:17" x14ac:dyDescent="0.3">
      <c r="A37" s="2">
        <v>40633</v>
      </c>
      <c r="B37" t="s">
        <v>39</v>
      </c>
      <c r="D37" t="s">
        <v>285</v>
      </c>
      <c r="E37" s="4">
        <f t="shared" si="1"/>
        <v>8.4163392122818204E-2</v>
      </c>
      <c r="F37" s="4">
        <f t="shared" si="1"/>
        <v>0</v>
      </c>
      <c r="G37" s="4">
        <f t="shared" si="1"/>
        <v>5.7025223605129405E-3</v>
      </c>
      <c r="H37" s="7">
        <f t="shared" si="6"/>
        <v>12</v>
      </c>
      <c r="I37" s="7">
        <f t="shared" si="7"/>
        <v>0</v>
      </c>
      <c r="J37" s="7">
        <f t="shared" si="8"/>
        <v>12</v>
      </c>
      <c r="K37" s="3">
        <f t="shared" si="3"/>
        <v>0.5</v>
      </c>
      <c r="L37" s="3">
        <f t="shared" si="4"/>
        <v>0</v>
      </c>
      <c r="M37" s="3">
        <f t="shared" si="5"/>
        <v>0.5</v>
      </c>
      <c r="N37" s="3">
        <f t="shared" si="9"/>
        <v>1</v>
      </c>
      <c r="O37">
        <f t="shared" si="10"/>
        <v>1.4725739696175617</v>
      </c>
      <c r="P37" s="4">
        <f>O37/MAX(O$14:O37)-1</f>
        <v>0</v>
      </c>
      <c r="Q37" s="4">
        <f t="shared" si="11"/>
        <v>4.4932957241665683E-2</v>
      </c>
    </row>
    <row r="38" spans="1:17" x14ac:dyDescent="0.3">
      <c r="A38" s="2">
        <v>40662</v>
      </c>
      <c r="B38" t="s">
        <v>40</v>
      </c>
      <c r="D38" t="s">
        <v>286</v>
      </c>
      <c r="E38" s="4">
        <f t="shared" si="1"/>
        <v>3.9109912339851727E-2</v>
      </c>
      <c r="F38" s="4">
        <f t="shared" si="1"/>
        <v>0</v>
      </c>
      <c r="G38" s="4">
        <f t="shared" si="1"/>
        <v>2.5762887325599948E-3</v>
      </c>
      <c r="H38" s="7">
        <f t="shared" si="6"/>
        <v>12</v>
      </c>
      <c r="I38" s="7">
        <f t="shared" si="7"/>
        <v>0</v>
      </c>
      <c r="J38" s="7">
        <f t="shared" si="8"/>
        <v>12</v>
      </c>
      <c r="K38" s="3">
        <f t="shared" si="3"/>
        <v>0.5</v>
      </c>
      <c r="L38" s="3">
        <f t="shared" si="4"/>
        <v>0</v>
      </c>
      <c r="M38" s="3">
        <f t="shared" si="5"/>
        <v>0.5</v>
      </c>
      <c r="N38" s="3">
        <f t="shared" si="9"/>
        <v>1</v>
      </c>
      <c r="O38">
        <f t="shared" si="10"/>
        <v>1.5032669769133002</v>
      </c>
      <c r="P38" s="4">
        <f>O38/MAX(O$14:O38)-1</f>
        <v>0</v>
      </c>
      <c r="Q38" s="4">
        <f t="shared" si="11"/>
        <v>2.084310053620575E-2</v>
      </c>
    </row>
    <row r="39" spans="1:17" x14ac:dyDescent="0.3">
      <c r="A39" s="2">
        <v>40694</v>
      </c>
      <c r="B39" t="s">
        <v>41</v>
      </c>
      <c r="D39" t="s">
        <v>287</v>
      </c>
      <c r="E39" s="4">
        <f t="shared" si="1"/>
        <v>-2.1211875405580782E-2</v>
      </c>
      <c r="F39" s="4">
        <f t="shared" si="1"/>
        <v>0</v>
      </c>
      <c r="G39" s="4">
        <f t="shared" si="1"/>
        <v>7.7559401584041954E-3</v>
      </c>
      <c r="H39" s="7">
        <f t="shared" si="6"/>
        <v>11</v>
      </c>
      <c r="I39" s="7">
        <f t="shared" si="7"/>
        <v>0</v>
      </c>
      <c r="J39" s="7">
        <f t="shared" si="8"/>
        <v>12</v>
      </c>
      <c r="K39" s="3">
        <f t="shared" si="3"/>
        <v>0.47826086956521741</v>
      </c>
      <c r="L39" s="3">
        <f t="shared" si="4"/>
        <v>0</v>
      </c>
      <c r="M39" s="3">
        <f t="shared" si="5"/>
        <v>0.52173913043478259</v>
      </c>
      <c r="N39" s="3">
        <f t="shared" si="9"/>
        <v>1</v>
      </c>
      <c r="O39">
        <f t="shared" si="10"/>
        <v>1.4931530453630182</v>
      </c>
      <c r="P39" s="4">
        <f>O39/MAX(O$14:O39)-1</f>
        <v>-6.7279676235882935E-3</v>
      </c>
      <c r="Q39" s="4">
        <f t="shared" si="11"/>
        <v>-6.7279676235882935E-3</v>
      </c>
    </row>
    <row r="40" spans="1:17" x14ac:dyDescent="0.3">
      <c r="A40" s="2">
        <v>40724</v>
      </c>
      <c r="B40" t="s">
        <v>42</v>
      </c>
      <c r="D40" t="s">
        <v>288</v>
      </c>
      <c r="E40" s="4">
        <f t="shared" si="1"/>
        <v>-2.7016947747897091E-2</v>
      </c>
      <c r="F40" s="4">
        <f t="shared" si="1"/>
        <v>0</v>
      </c>
      <c r="G40" s="4">
        <f t="shared" si="1"/>
        <v>-2.3170248934634152E-3</v>
      </c>
      <c r="H40" s="7">
        <f t="shared" si="6"/>
        <v>9</v>
      </c>
      <c r="I40" s="7">
        <f t="shared" si="7"/>
        <v>0</v>
      </c>
      <c r="J40" s="7">
        <f t="shared" si="8"/>
        <v>11</v>
      </c>
      <c r="K40" s="3">
        <f t="shared" si="3"/>
        <v>0.45</v>
      </c>
      <c r="L40" s="3">
        <f t="shared" si="4"/>
        <v>0</v>
      </c>
      <c r="M40" s="3">
        <f t="shared" si="5"/>
        <v>0.55000000000000004</v>
      </c>
      <c r="N40" s="3">
        <f t="shared" si="9"/>
        <v>1</v>
      </c>
      <c r="O40">
        <f t="shared" si="10"/>
        <v>1.4720547458335256</v>
      </c>
      <c r="P40" s="4">
        <f>O40/MAX(O$14:O40)-1</f>
        <v>-2.076293270531604E-2</v>
      </c>
      <c r="Q40" s="4">
        <f t="shared" si="11"/>
        <v>-1.4130031476018656E-2</v>
      </c>
    </row>
    <row r="41" spans="1:17" x14ac:dyDescent="0.3">
      <c r="A41" s="2">
        <v>40753</v>
      </c>
      <c r="B41" t="s">
        <v>43</v>
      </c>
      <c r="D41" t="s">
        <v>289</v>
      </c>
      <c r="E41" s="4">
        <f t="shared" si="1"/>
        <v>5.6641539968484977E-3</v>
      </c>
      <c r="F41" s="4">
        <f t="shared" si="1"/>
        <v>0</v>
      </c>
      <c r="G41" s="4">
        <f t="shared" si="1"/>
        <v>2.5674839824010309E-3</v>
      </c>
      <c r="H41" s="7">
        <f t="shared" si="6"/>
        <v>9</v>
      </c>
      <c r="I41" s="7">
        <f t="shared" si="7"/>
        <v>0</v>
      </c>
      <c r="J41" s="7">
        <f t="shared" si="8"/>
        <v>12</v>
      </c>
      <c r="K41" s="3">
        <f t="shared" si="3"/>
        <v>0.42857142857142855</v>
      </c>
      <c r="L41" s="3">
        <f t="shared" si="4"/>
        <v>0</v>
      </c>
      <c r="M41" s="3">
        <f t="shared" si="5"/>
        <v>0.5714285714285714</v>
      </c>
      <c r="N41" s="3">
        <f t="shared" si="9"/>
        <v>1</v>
      </c>
      <c r="O41">
        <f t="shared" si="10"/>
        <v>1.4778855333206422</v>
      </c>
      <c r="P41" s="4">
        <f>O41/MAX(O$14:O41)-1</f>
        <v>-1.6884188891566287E-2</v>
      </c>
      <c r="Q41" s="4">
        <f t="shared" si="11"/>
        <v>3.9609854889024465E-3</v>
      </c>
    </row>
    <row r="42" spans="1:17" x14ac:dyDescent="0.3">
      <c r="A42" s="2">
        <v>40786</v>
      </c>
      <c r="B42" t="s">
        <v>44</v>
      </c>
      <c r="D42" t="s">
        <v>290</v>
      </c>
      <c r="E42" s="4">
        <f t="shared" si="1"/>
        <v>-0.12602693317523506</v>
      </c>
      <c r="F42" s="4">
        <f t="shared" si="1"/>
        <v>0</v>
      </c>
      <c r="G42" s="4">
        <f t="shared" si="1"/>
        <v>1.304899484326083E-2</v>
      </c>
      <c r="H42" s="7">
        <f t="shared" si="6"/>
        <v>3</v>
      </c>
      <c r="I42" s="7">
        <f t="shared" si="7"/>
        <v>0</v>
      </c>
      <c r="J42" s="7">
        <f t="shared" si="8"/>
        <v>12</v>
      </c>
      <c r="K42" s="3">
        <f t="shared" si="3"/>
        <v>0.2</v>
      </c>
      <c r="L42" s="3">
        <f t="shared" si="4"/>
        <v>0</v>
      </c>
      <c r="M42" s="3">
        <f t="shared" si="5"/>
        <v>0.8</v>
      </c>
      <c r="N42" s="3">
        <f t="shared" si="9"/>
        <v>1</v>
      </c>
      <c r="O42">
        <f t="shared" si="10"/>
        <v>1.4090826102874396</v>
      </c>
      <c r="P42" s="4">
        <f>O42/MAX(O$14:O42)-1</f>
        <v>-6.2653120219039238E-2</v>
      </c>
      <c r="Q42" s="4">
        <f t="shared" si="11"/>
        <v>-4.6554974307523089E-2</v>
      </c>
    </row>
    <row r="43" spans="1:17" x14ac:dyDescent="0.3">
      <c r="A43" s="2">
        <v>40816</v>
      </c>
      <c r="B43" t="s">
        <v>45</v>
      </c>
      <c r="D43" t="s">
        <v>291</v>
      </c>
      <c r="E43" s="4">
        <f t="shared" si="1"/>
        <v>-4.9181122201763738E-2</v>
      </c>
      <c r="F43" s="4">
        <f t="shared" si="1"/>
        <v>0</v>
      </c>
      <c r="G43" s="4">
        <f t="shared" si="1"/>
        <v>1.7580548788895811E-3</v>
      </c>
      <c r="H43" s="7">
        <f t="shared" si="6"/>
        <v>0</v>
      </c>
      <c r="I43" s="7">
        <f t="shared" si="7"/>
        <v>0</v>
      </c>
      <c r="J43" s="7">
        <f t="shared" si="8"/>
        <v>12</v>
      </c>
      <c r="K43" s="3">
        <f t="shared" si="3"/>
        <v>0</v>
      </c>
      <c r="L43" s="3">
        <f t="shared" si="4"/>
        <v>0</v>
      </c>
      <c r="M43" s="3">
        <f t="shared" si="5"/>
        <v>1</v>
      </c>
      <c r="N43" s="3">
        <f t="shared" si="9"/>
        <v>1</v>
      </c>
      <c r="O43">
        <f t="shared" si="10"/>
        <v>1.3972043531238738</v>
      </c>
      <c r="P43" s="4">
        <f>O43/MAX(O$14:O43)-1</f>
        <v>-7.0554748702860381E-2</v>
      </c>
      <c r="Q43" s="4">
        <f t="shared" si="11"/>
        <v>-8.4297805372409718E-3</v>
      </c>
    </row>
    <row r="44" spans="1:17" x14ac:dyDescent="0.3">
      <c r="A44" s="2">
        <v>40847</v>
      </c>
      <c r="B44" t="s">
        <v>46</v>
      </c>
      <c r="C44" t="s">
        <v>155</v>
      </c>
      <c r="D44" t="s">
        <v>292</v>
      </c>
      <c r="E44" s="4">
        <f t="shared" si="1"/>
        <v>8.5715741731641426E-2</v>
      </c>
      <c r="F44" s="4">
        <f t="shared" si="1"/>
        <v>0</v>
      </c>
      <c r="G44" s="4">
        <f t="shared" si="1"/>
        <v>2.6955414597216176E-3</v>
      </c>
      <c r="H44" s="7">
        <f t="shared" si="6"/>
        <v>4</v>
      </c>
      <c r="I44" s="7">
        <f t="shared" si="7"/>
        <v>0</v>
      </c>
      <c r="J44" s="7">
        <f t="shared" si="8"/>
        <v>12</v>
      </c>
      <c r="K44" s="3">
        <f t="shared" si="3"/>
        <v>0.25</v>
      </c>
      <c r="L44" s="3">
        <f t="shared" si="4"/>
        <v>0</v>
      </c>
      <c r="M44" s="3">
        <f t="shared" si="5"/>
        <v>0.75</v>
      </c>
      <c r="N44" s="3">
        <f t="shared" si="9"/>
        <v>1</v>
      </c>
      <c r="O44">
        <f t="shared" si="10"/>
        <v>1.4009705753854227</v>
      </c>
      <c r="P44" s="4">
        <f>O44/MAX(O$14:O44)-1</f>
        <v>-6.8049390493447492E-2</v>
      </c>
      <c r="Q44" s="4">
        <f t="shared" si="11"/>
        <v>2.6955414597216176E-3</v>
      </c>
    </row>
    <row r="45" spans="1:17" x14ac:dyDescent="0.3">
      <c r="A45" s="2">
        <v>40877</v>
      </c>
      <c r="B45" t="s">
        <v>47</v>
      </c>
      <c r="C45" t="s">
        <v>156</v>
      </c>
      <c r="D45" t="s">
        <v>293</v>
      </c>
      <c r="E45" s="4">
        <f t="shared" si="1"/>
        <v>-3.1541891574747738E-2</v>
      </c>
      <c r="F45" s="4">
        <f t="shared" si="1"/>
        <v>1.0264170420420493E-2</v>
      </c>
      <c r="G45" s="4">
        <f t="shared" si="1"/>
        <v>7.4357097098929348E-3</v>
      </c>
      <c r="H45" s="7">
        <f t="shared" si="6"/>
        <v>1</v>
      </c>
      <c r="I45" s="7">
        <f t="shared" si="7"/>
        <v>0</v>
      </c>
      <c r="J45" s="7">
        <f t="shared" si="8"/>
        <v>12</v>
      </c>
      <c r="K45" s="3">
        <f t="shared" si="3"/>
        <v>7.6923076923076927E-2</v>
      </c>
      <c r="L45" s="3">
        <f t="shared" si="4"/>
        <v>0</v>
      </c>
      <c r="M45" s="3">
        <f t="shared" si="5"/>
        <v>0.92307692307692313</v>
      </c>
      <c r="N45" s="3">
        <f t="shared" si="9"/>
        <v>1</v>
      </c>
      <c r="O45">
        <f t="shared" si="10"/>
        <v>1.3977361677713687</v>
      </c>
      <c r="P45" s="4">
        <f>O45/MAX(O$14:O45)-1</f>
        <v>-7.0200976115780134E-2</v>
      </c>
      <c r="Q45" s="4">
        <f t="shared" si="11"/>
        <v>-2.3086906112672612E-3</v>
      </c>
    </row>
    <row r="46" spans="1:17" x14ac:dyDescent="0.3">
      <c r="A46" s="2">
        <v>40906</v>
      </c>
      <c r="B46" t="s">
        <v>48</v>
      </c>
      <c r="C46" t="s">
        <v>157</v>
      </c>
      <c r="D46" t="s">
        <v>294</v>
      </c>
      <c r="E46" s="4">
        <f t="shared" si="1"/>
        <v>-3.1018271700673505E-3</v>
      </c>
      <c r="F46" s="4">
        <f t="shared" si="1"/>
        <v>4.4935731453850103E-3</v>
      </c>
      <c r="G46" s="4">
        <f t="shared" si="1"/>
        <v>4.280880248904273E-3</v>
      </c>
      <c r="H46" s="7">
        <f t="shared" si="6"/>
        <v>1</v>
      </c>
      <c r="I46" s="7">
        <f t="shared" si="7"/>
        <v>0</v>
      </c>
      <c r="J46" s="7">
        <f t="shared" si="8"/>
        <v>12</v>
      </c>
      <c r="K46" s="3">
        <f t="shared" si="3"/>
        <v>7.6923076923076927E-2</v>
      </c>
      <c r="L46" s="3">
        <f t="shared" si="4"/>
        <v>0</v>
      </c>
      <c r="M46" s="3">
        <f t="shared" si="5"/>
        <v>0.92307692307692313</v>
      </c>
      <c r="N46" s="3">
        <f t="shared" si="9"/>
        <v>1</v>
      </c>
      <c r="O46">
        <f t="shared" si="10"/>
        <v>1.4029259337578086</v>
      </c>
      <c r="P46" s="4">
        <f>O46/MAX(O$14:O46)-1</f>
        <v>-6.6748651235274736E-2</v>
      </c>
      <c r="Q46" s="4">
        <f t="shared" si="11"/>
        <v>3.7129796782140456E-3</v>
      </c>
    </row>
    <row r="47" spans="1:17" x14ac:dyDescent="0.3">
      <c r="A47" s="2">
        <v>40939</v>
      </c>
      <c r="B47" t="s">
        <v>49</v>
      </c>
      <c r="C47" t="s">
        <v>158</v>
      </c>
      <c r="D47" t="s">
        <v>295</v>
      </c>
      <c r="E47" s="4">
        <f t="shared" si="1"/>
        <v>7.5501968982449208E-2</v>
      </c>
      <c r="F47" s="4">
        <f t="shared" si="1"/>
        <v>3.907062767310121E-3</v>
      </c>
      <c r="G47" s="4">
        <f t="shared" si="1"/>
        <v>1.2098187533213789E-3</v>
      </c>
      <c r="H47" s="7">
        <f t="shared" si="6"/>
        <v>6</v>
      </c>
      <c r="I47" s="7">
        <f t="shared" si="7"/>
        <v>0</v>
      </c>
      <c r="J47" s="7">
        <f t="shared" si="8"/>
        <v>12</v>
      </c>
      <c r="K47" s="3">
        <f t="shared" si="3"/>
        <v>0.33333333333333331</v>
      </c>
      <c r="L47" s="3">
        <f t="shared" si="4"/>
        <v>0</v>
      </c>
      <c r="M47" s="3">
        <f t="shared" si="5"/>
        <v>0.66666666666666663</v>
      </c>
      <c r="N47" s="3">
        <f t="shared" si="9"/>
        <v>1</v>
      </c>
      <c r="O47">
        <f t="shared" si="10"/>
        <v>1.4126406340336108</v>
      </c>
      <c r="P47" s="4">
        <f>O47/MAX(O$14:O47)-1</f>
        <v>-6.028625937474863E-2</v>
      </c>
      <c r="Q47" s="4">
        <f t="shared" si="11"/>
        <v>6.9245995401774341E-3</v>
      </c>
    </row>
    <row r="48" spans="1:17" x14ac:dyDescent="0.3">
      <c r="A48" s="2">
        <v>40968</v>
      </c>
      <c r="B48" t="s">
        <v>50</v>
      </c>
      <c r="C48" t="s">
        <v>159</v>
      </c>
      <c r="D48" t="s">
        <v>296</v>
      </c>
      <c r="E48" s="4">
        <f t="shared" si="1"/>
        <v>3.846849290299259E-2</v>
      </c>
      <c r="F48" s="4">
        <f t="shared" si="1"/>
        <v>-3.3391672807658868E-4</v>
      </c>
      <c r="G48" s="4">
        <f t="shared" si="1"/>
        <v>1.3438735177866423E-3</v>
      </c>
      <c r="H48" s="7">
        <f t="shared" si="6"/>
        <v>7</v>
      </c>
      <c r="I48" s="7">
        <f t="shared" si="7"/>
        <v>0</v>
      </c>
      <c r="J48" s="7">
        <f t="shared" si="8"/>
        <v>12</v>
      </c>
      <c r="K48" s="3">
        <f t="shared" si="3"/>
        <v>0.36842105263157893</v>
      </c>
      <c r="L48" s="3">
        <f t="shared" si="4"/>
        <v>0</v>
      </c>
      <c r="M48" s="3">
        <f t="shared" si="5"/>
        <v>0.63157894736842102</v>
      </c>
      <c r="N48" s="3">
        <f t="shared" si="9"/>
        <v>1</v>
      </c>
      <c r="O48">
        <f t="shared" si="10"/>
        <v>1.4320202929940291</v>
      </c>
      <c r="P48" s="4">
        <f>O48/MAX(O$14:O48)-1</f>
        <v>-4.7394564647168624E-2</v>
      </c>
      <c r="Q48" s="4">
        <f t="shared" si="11"/>
        <v>1.3718746646188551E-2</v>
      </c>
    </row>
    <row r="49" spans="1:17" x14ac:dyDescent="0.3">
      <c r="A49" s="2">
        <v>40998</v>
      </c>
      <c r="B49" t="s">
        <v>51</v>
      </c>
      <c r="C49" t="s">
        <v>160</v>
      </c>
      <c r="D49" t="s">
        <v>297</v>
      </c>
      <c r="E49" s="4">
        <f t="shared" si="1"/>
        <v>2.95999651765122E-3</v>
      </c>
      <c r="F49" s="4">
        <f t="shared" si="1"/>
        <v>-5.7015169490549633E-3</v>
      </c>
      <c r="G49" s="4">
        <f t="shared" si="1"/>
        <v>-3.9472645456695155E-4</v>
      </c>
      <c r="H49" s="7">
        <f t="shared" si="6"/>
        <v>7</v>
      </c>
      <c r="I49" s="7">
        <f t="shared" si="7"/>
        <v>0</v>
      </c>
      <c r="J49" s="7">
        <f t="shared" si="8"/>
        <v>11</v>
      </c>
      <c r="K49" s="3">
        <f t="shared" si="3"/>
        <v>0.3888888888888889</v>
      </c>
      <c r="L49" s="3">
        <f t="shared" si="4"/>
        <v>0</v>
      </c>
      <c r="M49" s="3">
        <f t="shared" si="5"/>
        <v>0.61111111111111116</v>
      </c>
      <c r="N49" s="3">
        <f t="shared" si="9"/>
        <v>1</v>
      </c>
      <c r="O49">
        <f t="shared" si="10"/>
        <v>1.4332249429964408</v>
      </c>
      <c r="P49" s="4">
        <f>O49/MAX(O$14:O49)-1</f>
        <v>-4.6593209983684103E-2</v>
      </c>
      <c r="Q49" s="4">
        <f t="shared" si="11"/>
        <v>8.4122411414511156E-4</v>
      </c>
    </row>
    <row r="50" spans="1:17" x14ac:dyDescent="0.3">
      <c r="A50" s="2">
        <v>41029</v>
      </c>
      <c r="B50" t="s">
        <v>52</v>
      </c>
      <c r="C50" t="s">
        <v>161</v>
      </c>
      <c r="D50" t="s">
        <v>298</v>
      </c>
      <c r="E50" s="4">
        <f t="shared" si="1"/>
        <v>-1.0155809209669742E-2</v>
      </c>
      <c r="F50" s="4">
        <f t="shared" si="1"/>
        <v>1.0912376627589149E-2</v>
      </c>
      <c r="G50" s="4">
        <f t="shared" si="1"/>
        <v>6.0247760453098209E-3</v>
      </c>
      <c r="H50" s="7">
        <f t="shared" si="6"/>
        <v>6</v>
      </c>
      <c r="I50" s="7">
        <f t="shared" si="7"/>
        <v>0</v>
      </c>
      <c r="J50" s="7">
        <f t="shared" si="8"/>
        <v>12</v>
      </c>
      <c r="K50" s="3">
        <f t="shared" si="3"/>
        <v>0.33333333333333331</v>
      </c>
      <c r="L50" s="3">
        <f t="shared" si="4"/>
        <v>0</v>
      </c>
      <c r="M50" s="3">
        <f t="shared" si="5"/>
        <v>0.66666666666666663</v>
      </c>
      <c r="N50" s="3">
        <f t="shared" si="9"/>
        <v>1</v>
      </c>
      <c r="O50">
        <f t="shared" si="10"/>
        <v>1.4328413062639898</v>
      </c>
      <c r="P50" s="4">
        <f>O50/MAX(O$14:O50)-1</f>
        <v>-4.6848411979299565E-2</v>
      </c>
      <c r="Q50" s="4">
        <f t="shared" si="11"/>
        <v>-2.6767377607095355E-4</v>
      </c>
    </row>
    <row r="51" spans="1:17" x14ac:dyDescent="0.3">
      <c r="A51" s="2">
        <v>41060</v>
      </c>
      <c r="B51" t="s">
        <v>53</v>
      </c>
      <c r="C51" t="s">
        <v>162</v>
      </c>
      <c r="D51" t="s">
        <v>299</v>
      </c>
      <c r="E51" s="4">
        <f t="shared" si="1"/>
        <v>-7.7826982943833056E-2</v>
      </c>
      <c r="F51" s="4">
        <f t="shared" si="1"/>
        <v>1.2295739463250355E-2</v>
      </c>
      <c r="G51" s="4">
        <f t="shared" si="1"/>
        <v>6.5157904180872528E-3</v>
      </c>
      <c r="H51" s="7">
        <f t="shared" si="6"/>
        <v>4</v>
      </c>
      <c r="I51" s="7">
        <f t="shared" si="7"/>
        <v>0</v>
      </c>
      <c r="J51" s="7">
        <f t="shared" si="8"/>
        <v>12</v>
      </c>
      <c r="K51" s="3">
        <f t="shared" si="3"/>
        <v>0.25</v>
      </c>
      <c r="L51" s="3">
        <f t="shared" si="4"/>
        <v>0</v>
      </c>
      <c r="M51" s="3">
        <f t="shared" si="5"/>
        <v>0.75</v>
      </c>
      <c r="N51" s="3">
        <f t="shared" si="9"/>
        <v>1</v>
      </c>
      <c r="O51">
        <f t="shared" si="10"/>
        <v>1.4018941300653771</v>
      </c>
      <c r="P51" s="4">
        <f>O51/MAX(O$14:O51)-1</f>
        <v>-6.7435025451084374E-2</v>
      </c>
      <c r="Q51" s="4">
        <f t="shared" si="11"/>
        <v>-2.1598467369219554E-2</v>
      </c>
    </row>
    <row r="52" spans="1:17" x14ac:dyDescent="0.3">
      <c r="A52" s="2">
        <v>41089</v>
      </c>
      <c r="B52" t="s">
        <v>54</v>
      </c>
      <c r="C52" t="s">
        <v>163</v>
      </c>
      <c r="D52" t="s">
        <v>300</v>
      </c>
      <c r="E52" s="4">
        <f t="shared" si="1"/>
        <v>5.7531380753137462E-3</v>
      </c>
      <c r="F52" s="4">
        <f t="shared" si="1"/>
        <v>6.4750563171418474E-3</v>
      </c>
      <c r="G52" s="4">
        <f t="shared" si="1"/>
        <v>3.3315134430467186E-3</v>
      </c>
      <c r="H52" s="7">
        <f t="shared" si="6"/>
        <v>5</v>
      </c>
      <c r="I52" s="7">
        <f t="shared" si="7"/>
        <v>0</v>
      </c>
      <c r="J52" s="7">
        <f t="shared" si="8"/>
        <v>12</v>
      </c>
      <c r="K52" s="3">
        <f t="shared" si="3"/>
        <v>0.29411764705882354</v>
      </c>
      <c r="L52" s="3">
        <f t="shared" si="4"/>
        <v>0</v>
      </c>
      <c r="M52" s="3">
        <f t="shared" si="5"/>
        <v>0.70588235294117652</v>
      </c>
      <c r="N52" s="3">
        <f t="shared" si="9"/>
        <v>1</v>
      </c>
      <c r="O52">
        <f t="shared" si="10"/>
        <v>1.4074132745447174</v>
      </c>
      <c r="P52" s="4">
        <f>O52/MAX(O$14:O52)-1</f>
        <v>-6.3763592123470936E-2</v>
      </c>
      <c r="Q52" s="4">
        <f t="shared" si="11"/>
        <v>3.93691960111342E-3</v>
      </c>
    </row>
    <row r="53" spans="1:17" x14ac:dyDescent="0.3">
      <c r="A53" s="2">
        <v>41121</v>
      </c>
      <c r="B53" t="s">
        <v>55</v>
      </c>
      <c r="C53" t="s">
        <v>164</v>
      </c>
      <c r="D53" t="s">
        <v>301</v>
      </c>
      <c r="E53" s="4">
        <f t="shared" si="1"/>
        <v>2.0848106651538689E-2</v>
      </c>
      <c r="F53" s="4">
        <f t="shared" si="1"/>
        <v>3.3741606775314681E-2</v>
      </c>
      <c r="G53" s="4">
        <f t="shared" si="1"/>
        <v>1.5158582089552342E-2</v>
      </c>
      <c r="H53" s="7">
        <f t="shared" si="6"/>
        <v>7</v>
      </c>
      <c r="I53" s="7">
        <f t="shared" si="7"/>
        <v>0</v>
      </c>
      <c r="J53" s="7">
        <f t="shared" si="8"/>
        <v>12</v>
      </c>
      <c r="K53" s="3">
        <f t="shared" si="3"/>
        <v>0.36842105263157893</v>
      </c>
      <c r="L53" s="3">
        <f t="shared" si="4"/>
        <v>0</v>
      </c>
      <c r="M53" s="3">
        <f t="shared" si="5"/>
        <v>0.63157894736842102</v>
      </c>
      <c r="N53" s="3">
        <f t="shared" si="9"/>
        <v>1</v>
      </c>
      <c r="O53">
        <f t="shared" si="10"/>
        <v>1.4311028149050611</v>
      </c>
      <c r="P53" s="4">
        <f>O53/MAX(O$14:O53)-1</f>
        <v>-4.8004887432847032E-2</v>
      </c>
      <c r="Q53" s="4">
        <f t="shared" si="11"/>
        <v>1.6831971666607215E-2</v>
      </c>
    </row>
    <row r="54" spans="1:17" x14ac:dyDescent="0.3">
      <c r="A54" s="2">
        <v>41152</v>
      </c>
      <c r="B54" t="s">
        <v>56</v>
      </c>
      <c r="C54" t="s">
        <v>165</v>
      </c>
      <c r="D54" t="s">
        <v>302</v>
      </c>
      <c r="E54" s="4">
        <f t="shared" si="1"/>
        <v>9.261831990368119E-4</v>
      </c>
      <c r="F54" s="4">
        <f t="shared" si="1"/>
        <v>1.0053203642654385E-2</v>
      </c>
      <c r="G54" s="4">
        <f t="shared" si="1"/>
        <v>4.8133197685231721E-3</v>
      </c>
      <c r="H54" s="7">
        <f t="shared" si="6"/>
        <v>8</v>
      </c>
      <c r="I54" s="7">
        <f t="shared" si="7"/>
        <v>0</v>
      </c>
      <c r="J54" s="7">
        <f t="shared" si="8"/>
        <v>12</v>
      </c>
      <c r="K54" s="3">
        <f t="shared" si="3"/>
        <v>0.4</v>
      </c>
      <c r="L54" s="3">
        <f t="shared" si="4"/>
        <v>0</v>
      </c>
      <c r="M54" s="3">
        <f t="shared" si="5"/>
        <v>0.6</v>
      </c>
      <c r="N54" s="3">
        <f t="shared" si="9"/>
        <v>1</v>
      </c>
      <c r="O54">
        <f t="shared" si="10"/>
        <v>1.4359416838166441</v>
      </c>
      <c r="P54" s="4">
        <f>O54/MAX(O$14:O54)-1</f>
        <v>-4.4785985543896567E-2</v>
      </c>
      <c r="Q54" s="4">
        <f t="shared" si="11"/>
        <v>3.3812168218703142E-3</v>
      </c>
    </row>
    <row r="55" spans="1:17" x14ac:dyDescent="0.3">
      <c r="A55" s="2">
        <v>41180</v>
      </c>
      <c r="B55" t="s">
        <v>57</v>
      </c>
      <c r="C55" t="s">
        <v>166</v>
      </c>
      <c r="D55" t="s">
        <v>303</v>
      </c>
      <c r="E55" s="4">
        <f t="shared" si="1"/>
        <v>4.8163227537707076E-2</v>
      </c>
      <c r="F55" s="4">
        <f t="shared" si="1"/>
        <v>3.9424785910486815E-3</v>
      </c>
      <c r="G55" s="4">
        <f t="shared" si="1"/>
        <v>2.1011834126267726E-3</v>
      </c>
      <c r="H55" s="7">
        <f t="shared" si="6"/>
        <v>9</v>
      </c>
      <c r="I55" s="7">
        <f t="shared" si="7"/>
        <v>0</v>
      </c>
      <c r="J55" s="7">
        <f t="shared" si="8"/>
        <v>12</v>
      </c>
      <c r="K55" s="3">
        <f t="shared" si="3"/>
        <v>0.42857142857142855</v>
      </c>
      <c r="L55" s="3">
        <f t="shared" si="4"/>
        <v>0</v>
      </c>
      <c r="M55" s="3">
        <f t="shared" si="5"/>
        <v>0.5714285714285714</v>
      </c>
      <c r="N55" s="3">
        <f t="shared" si="9"/>
        <v>1</v>
      </c>
      <c r="O55">
        <f t="shared" si="10"/>
        <v>1.4654158243445807</v>
      </c>
      <c r="P55" s="4">
        <f>O55/MAX(O$14:O55)-1</f>
        <v>-2.5179261668103914E-2</v>
      </c>
      <c r="Q55" s="4">
        <f t="shared" si="11"/>
        <v>2.0526001062658894E-2</v>
      </c>
    </row>
    <row r="56" spans="1:17" x14ac:dyDescent="0.3">
      <c r="A56" s="2">
        <v>41213</v>
      </c>
      <c r="B56" t="s">
        <v>58</v>
      </c>
      <c r="C56" t="s">
        <v>167</v>
      </c>
      <c r="D56" t="s">
        <v>304</v>
      </c>
      <c r="E56" s="4">
        <f t="shared" si="1"/>
        <v>-4.4361068196866027E-2</v>
      </c>
      <c r="F56" s="4">
        <f t="shared" si="1"/>
        <v>4.4420124247595005E-3</v>
      </c>
      <c r="G56" s="4">
        <f t="shared" si="1"/>
        <v>2.7051691545532108E-3</v>
      </c>
      <c r="H56" s="7">
        <f t="shared" si="6"/>
        <v>7</v>
      </c>
      <c r="I56" s="7">
        <f t="shared" si="7"/>
        <v>12</v>
      </c>
      <c r="J56" s="7">
        <f t="shared" si="8"/>
        <v>12</v>
      </c>
      <c r="K56" s="3">
        <f t="shared" si="3"/>
        <v>0.22580645161290322</v>
      </c>
      <c r="L56" s="3">
        <f t="shared" si="4"/>
        <v>0.38709677419354838</v>
      </c>
      <c r="M56" s="3">
        <f t="shared" si="5"/>
        <v>0.38709677419354838</v>
      </c>
      <c r="N56" s="3">
        <f t="shared" si="9"/>
        <v>1</v>
      </c>
      <c r="O56">
        <f t="shared" si="10"/>
        <v>1.4398207610281373</v>
      </c>
      <c r="P56" s="4">
        <f>O56/MAX(O$14:O56)-1</f>
        <v>-4.2205554209298723E-2</v>
      </c>
      <c r="Q56" s="4">
        <f t="shared" si="11"/>
        <v>-1.7466075424626304E-2</v>
      </c>
    </row>
    <row r="57" spans="1:17" x14ac:dyDescent="0.3">
      <c r="A57" s="2">
        <v>41243</v>
      </c>
      <c r="B57" t="s">
        <v>59</v>
      </c>
      <c r="C57" t="s">
        <v>168</v>
      </c>
      <c r="D57" t="s">
        <v>305</v>
      </c>
      <c r="E57" s="4">
        <f t="shared" si="1"/>
        <v>1.7921478060046292E-2</v>
      </c>
      <c r="F57" s="4">
        <f t="shared" si="1"/>
        <v>-1.1643433210489773E-3</v>
      </c>
      <c r="G57" s="4">
        <f t="shared" si="1"/>
        <v>5.2007150983257588E-4</v>
      </c>
      <c r="H57" s="7">
        <f t="shared" si="6"/>
        <v>7</v>
      </c>
      <c r="I57" s="7">
        <f t="shared" si="7"/>
        <v>11</v>
      </c>
      <c r="J57" s="7">
        <f t="shared" si="8"/>
        <v>12</v>
      </c>
      <c r="K57" s="3">
        <f t="shared" si="3"/>
        <v>0.23333333333333334</v>
      </c>
      <c r="L57" s="3">
        <f t="shared" si="4"/>
        <v>0.36666666666666664</v>
      </c>
      <c r="M57" s="3">
        <f t="shared" si="5"/>
        <v>0.4</v>
      </c>
      <c r="N57" s="3">
        <f t="shared" si="9"/>
        <v>1</v>
      </c>
      <c r="O57">
        <f t="shared" si="10"/>
        <v>1.4452883217410322</v>
      </c>
      <c r="P57" s="4">
        <f>O57/MAX(O$14:O57)-1</f>
        <v>-3.856843532299048E-2</v>
      </c>
      <c r="Q57" s="4">
        <f t="shared" si="11"/>
        <v>3.7973898285719176E-3</v>
      </c>
    </row>
    <row r="58" spans="1:17" x14ac:dyDescent="0.3">
      <c r="A58" s="2">
        <v>41271</v>
      </c>
      <c r="B58" t="s">
        <v>60</v>
      </c>
      <c r="C58" t="s">
        <v>169</v>
      </c>
      <c r="D58" t="s">
        <v>306</v>
      </c>
      <c r="E58" s="4">
        <f t="shared" si="1"/>
        <v>4.2925855340774977E-2</v>
      </c>
      <c r="F58" s="4">
        <f t="shared" si="1"/>
        <v>-6.1386435095074354E-3</v>
      </c>
      <c r="G58" s="4">
        <f t="shared" si="1"/>
        <v>2.1874966158776932E-3</v>
      </c>
      <c r="H58" s="7">
        <f t="shared" si="6"/>
        <v>11</v>
      </c>
      <c r="I58" s="7">
        <f t="shared" si="7"/>
        <v>9</v>
      </c>
      <c r="J58" s="7">
        <f t="shared" si="8"/>
        <v>12</v>
      </c>
      <c r="K58" s="3">
        <f t="shared" si="3"/>
        <v>0.34375</v>
      </c>
      <c r="L58" s="3">
        <f t="shared" si="4"/>
        <v>0.28125</v>
      </c>
      <c r="M58" s="3">
        <f t="shared" si="5"/>
        <v>0.375</v>
      </c>
      <c r="N58" s="3">
        <f t="shared" si="9"/>
        <v>1</v>
      </c>
      <c r="O58">
        <f t="shared" si="10"/>
        <v>1.4577758955475266</v>
      </c>
      <c r="P58" s="4">
        <f>O58/MAX(O$14:O58)-1</f>
        <v>-3.0261478542674913E-2</v>
      </c>
      <c r="Q58" s="4">
        <f t="shared" si="11"/>
        <v>8.6401956057124973E-3</v>
      </c>
    </row>
    <row r="59" spans="1:17" x14ac:dyDescent="0.3">
      <c r="A59" s="2">
        <v>41305</v>
      </c>
      <c r="B59" t="s">
        <v>61</v>
      </c>
      <c r="C59" t="s">
        <v>170</v>
      </c>
      <c r="D59" t="s">
        <v>307</v>
      </c>
      <c r="E59" s="4">
        <f t="shared" si="1"/>
        <v>-2.0666550643926196E-2</v>
      </c>
      <c r="F59" s="4">
        <f t="shared" si="1"/>
        <v>7.4570653811389942E-3</v>
      </c>
      <c r="G59" s="4">
        <f t="shared" si="1"/>
        <v>3.7387217029554165E-3</v>
      </c>
      <c r="H59" s="7">
        <f t="shared" si="6"/>
        <v>7</v>
      </c>
      <c r="I59" s="7">
        <f t="shared" si="7"/>
        <v>12</v>
      </c>
      <c r="J59" s="7">
        <f t="shared" si="8"/>
        <v>12</v>
      </c>
      <c r="K59" s="3">
        <f t="shared" si="3"/>
        <v>0.22580645161290322</v>
      </c>
      <c r="L59" s="3">
        <f t="shared" si="4"/>
        <v>0.38709677419354838</v>
      </c>
      <c r="M59" s="3">
        <f t="shared" si="5"/>
        <v>0.38709677419354838</v>
      </c>
      <c r="N59" s="3">
        <f t="shared" si="9"/>
        <v>1</v>
      </c>
      <c r="O59">
        <f t="shared" si="10"/>
        <v>1.4525208955138067</v>
      </c>
      <c r="P59" s="4">
        <f>O59/MAX(O$14:O59)-1</f>
        <v>-3.3757198274714906E-2</v>
      </c>
      <c r="Q59" s="4">
        <f t="shared" si="11"/>
        <v>-3.6048065067958435E-3</v>
      </c>
    </row>
    <row r="60" spans="1:17" x14ac:dyDescent="0.3">
      <c r="A60" s="2">
        <v>41333</v>
      </c>
      <c r="B60" t="s">
        <v>62</v>
      </c>
      <c r="C60" t="s">
        <v>171</v>
      </c>
      <c r="D60" t="s">
        <v>308</v>
      </c>
      <c r="E60" s="4">
        <f t="shared" si="1"/>
        <v>4.0872539872939706E-2</v>
      </c>
      <c r="F60" s="4">
        <f t="shared" si="1"/>
        <v>1.2133511348464632E-2</v>
      </c>
      <c r="G60" s="4">
        <f t="shared" si="1"/>
        <v>6.2115813157357369E-3</v>
      </c>
      <c r="H60" s="7">
        <f t="shared" si="6"/>
        <v>12</v>
      </c>
      <c r="I60" s="7">
        <f t="shared" si="7"/>
        <v>12</v>
      </c>
      <c r="J60" s="7">
        <f t="shared" si="8"/>
        <v>12</v>
      </c>
      <c r="K60" s="3">
        <f t="shared" si="3"/>
        <v>0.33333333333333331</v>
      </c>
      <c r="L60" s="3">
        <f t="shared" si="4"/>
        <v>0.33333333333333331</v>
      </c>
      <c r="M60" s="3">
        <f t="shared" si="5"/>
        <v>0.33333333333333331</v>
      </c>
      <c r="N60" s="3">
        <f t="shared" si="9"/>
        <v>1</v>
      </c>
      <c r="O60">
        <f t="shared" si="10"/>
        <v>1.4762414468888332</v>
      </c>
      <c r="P60" s="4">
        <f>O60/MAX(O$14:O60)-1</f>
        <v>-1.7977864504121088E-2</v>
      </c>
      <c r="Q60" s="4">
        <f t="shared" si="11"/>
        <v>1.6330609389709094E-2</v>
      </c>
    </row>
    <row r="61" spans="1:17" x14ac:dyDescent="0.3">
      <c r="A61" s="2">
        <v>41362</v>
      </c>
      <c r="B61" t="s">
        <v>63</v>
      </c>
      <c r="C61" t="s">
        <v>172</v>
      </c>
      <c r="D61" t="s">
        <v>309</v>
      </c>
      <c r="E61" s="4">
        <f t="shared" si="1"/>
        <v>-1.6432626232447012E-2</v>
      </c>
      <c r="F61" s="4">
        <f t="shared" si="1"/>
        <v>1.1850866917824776E-2</v>
      </c>
      <c r="G61" s="4">
        <f t="shared" si="1"/>
        <v>6.4086104335172589E-3</v>
      </c>
      <c r="H61" s="7">
        <f t="shared" si="6"/>
        <v>11</v>
      </c>
      <c r="I61" s="7">
        <f t="shared" si="7"/>
        <v>12</v>
      </c>
      <c r="J61" s="7">
        <f t="shared" si="8"/>
        <v>12</v>
      </c>
      <c r="K61" s="3">
        <f t="shared" si="3"/>
        <v>0.31428571428571428</v>
      </c>
      <c r="L61" s="3">
        <f t="shared" si="4"/>
        <v>0.34285714285714286</v>
      </c>
      <c r="M61" s="3">
        <f t="shared" si="5"/>
        <v>0.34285714285714286</v>
      </c>
      <c r="N61" s="3">
        <f t="shared" si="9"/>
        <v>1</v>
      </c>
      <c r="O61">
        <f t="shared" si="10"/>
        <v>1.4771404046685024</v>
      </c>
      <c r="P61" s="4">
        <f>O61/MAX(O$14:O61)-1</f>
        <v>-1.7379861758451076E-2</v>
      </c>
      <c r="Q61" s="4">
        <f t="shared" si="11"/>
        <v>6.0895037296493371E-4</v>
      </c>
    </row>
    <row r="62" spans="1:17" x14ac:dyDescent="0.3">
      <c r="A62" s="2">
        <v>41394</v>
      </c>
      <c r="B62" t="s">
        <v>64</v>
      </c>
      <c r="C62" t="s">
        <v>173</v>
      </c>
      <c r="D62" t="s">
        <v>310</v>
      </c>
      <c r="E62" s="4">
        <f t="shared" si="1"/>
        <v>-2.9031418156570066E-2</v>
      </c>
      <c r="F62" s="4">
        <f t="shared" si="1"/>
        <v>5.079053856743565E-3</v>
      </c>
      <c r="G62" s="4">
        <f t="shared" si="1"/>
        <v>1.7115460257051129E-3</v>
      </c>
      <c r="H62" s="7">
        <f t="shared" si="6"/>
        <v>6</v>
      </c>
      <c r="I62" s="7">
        <f t="shared" si="7"/>
        <v>12</v>
      </c>
      <c r="J62" s="7">
        <f t="shared" si="8"/>
        <v>12</v>
      </c>
      <c r="K62" s="3">
        <f t="shared" si="3"/>
        <v>0.2</v>
      </c>
      <c r="L62" s="3">
        <f t="shared" si="4"/>
        <v>0.4</v>
      </c>
      <c r="M62" s="3">
        <f t="shared" si="5"/>
        <v>0.4</v>
      </c>
      <c r="N62" s="3">
        <f t="shared" si="9"/>
        <v>1</v>
      </c>
      <c r="O62">
        <f t="shared" si="10"/>
        <v>1.4671018259569815</v>
      </c>
      <c r="P62" s="4">
        <f>O62/MAX(O$14:O62)-1</f>
        <v>-2.4057703329968483E-2</v>
      </c>
      <c r="Q62" s="4">
        <f t="shared" si="11"/>
        <v>-6.7959543180824422E-3</v>
      </c>
    </row>
    <row r="63" spans="1:17" x14ac:dyDescent="0.3">
      <c r="A63" s="2">
        <v>41425</v>
      </c>
      <c r="B63" t="s">
        <v>65</v>
      </c>
      <c r="C63" t="s">
        <v>174</v>
      </c>
      <c r="D63" t="s">
        <v>311</v>
      </c>
      <c r="E63" s="4">
        <f t="shared" si="1"/>
        <v>2.1720670391061514E-2</v>
      </c>
      <c r="F63" s="4">
        <f t="shared" si="1"/>
        <v>-1.9860746490126702E-2</v>
      </c>
      <c r="G63" s="4">
        <f t="shared" si="1"/>
        <v>-6.0597699197690869E-3</v>
      </c>
      <c r="H63" s="7">
        <f t="shared" si="6"/>
        <v>9</v>
      </c>
      <c r="I63" s="7">
        <f t="shared" si="7"/>
        <v>9</v>
      </c>
      <c r="J63" s="7">
        <f t="shared" si="8"/>
        <v>10</v>
      </c>
      <c r="K63" s="3">
        <f t="shared" si="3"/>
        <v>0.32142857142857145</v>
      </c>
      <c r="L63" s="3">
        <f t="shared" si="4"/>
        <v>0.32142857142857145</v>
      </c>
      <c r="M63" s="3">
        <f t="shared" si="5"/>
        <v>0.35714285714285715</v>
      </c>
      <c r="N63" s="3">
        <f t="shared" si="9"/>
        <v>1</v>
      </c>
      <c r="O63">
        <f t="shared" si="10"/>
        <v>1.4582638982134464</v>
      </c>
      <c r="P63" s="4">
        <f>O63/MAX(O$14:O63)-1</f>
        <v>-2.9936850467014109E-2</v>
      </c>
      <c r="Q63" s="4">
        <f t="shared" si="11"/>
        <v>-6.0240724857459904E-3</v>
      </c>
    </row>
    <row r="64" spans="1:17" x14ac:dyDescent="0.3">
      <c r="A64" s="2">
        <v>41453</v>
      </c>
      <c r="B64" t="s">
        <v>66</v>
      </c>
      <c r="C64" t="s">
        <v>175</v>
      </c>
      <c r="D64" t="s">
        <v>312</v>
      </c>
      <c r="E64" s="4">
        <f t="shared" si="1"/>
        <v>-7.5805957744630614E-2</v>
      </c>
      <c r="F64" s="4">
        <f t="shared" si="1"/>
        <v>-1.9850302253935692E-2</v>
      </c>
      <c r="G64" s="4">
        <f t="shared" si="1"/>
        <v>-1.5268479665161427E-3</v>
      </c>
      <c r="H64" s="7">
        <f t="shared" si="6"/>
        <v>0</v>
      </c>
      <c r="I64" s="7">
        <f t="shared" si="7"/>
        <v>2</v>
      </c>
      <c r="J64" s="7">
        <f t="shared" si="8"/>
        <v>9</v>
      </c>
      <c r="K64" s="3">
        <f t="shared" si="3"/>
        <v>0</v>
      </c>
      <c r="L64" s="3">
        <f t="shared" si="4"/>
        <v>0.18181818181818182</v>
      </c>
      <c r="M64" s="3">
        <f t="shared" si="5"/>
        <v>0.81818181818181823</v>
      </c>
      <c r="N64" s="3">
        <f t="shared" si="9"/>
        <v>1</v>
      </c>
      <c r="O64">
        <f t="shared" si="10"/>
        <v>1.4126319657840691</v>
      </c>
      <c r="P64" s="4">
        <f>O64/MAX(O$14:O64)-1</f>
        <v>-6.029202564892E-2</v>
      </c>
      <c r="Q64" s="4">
        <f t="shared" si="11"/>
        <v>-3.1291957844723495E-2</v>
      </c>
    </row>
    <row r="65" spans="1:17" x14ac:dyDescent="0.3">
      <c r="A65" s="2">
        <v>41486</v>
      </c>
      <c r="B65" t="s">
        <v>67</v>
      </c>
      <c r="C65" t="s">
        <v>176</v>
      </c>
      <c r="D65" t="s">
        <v>313</v>
      </c>
      <c r="E65" s="4">
        <f t="shared" si="1"/>
        <v>2.6931086709579777E-2</v>
      </c>
      <c r="F65" s="4">
        <f t="shared" si="1"/>
        <v>-3.4131904689896908E-3</v>
      </c>
      <c r="G65" s="4">
        <f t="shared" si="1"/>
        <v>1.2832303184540095E-4</v>
      </c>
      <c r="H65" s="7">
        <f t="shared" si="6"/>
        <v>4</v>
      </c>
      <c r="I65" s="7">
        <f t="shared" si="7"/>
        <v>1</v>
      </c>
      <c r="J65" s="7">
        <f t="shared" si="8"/>
        <v>9</v>
      </c>
      <c r="K65" s="3">
        <f t="shared" si="3"/>
        <v>0.2857142857142857</v>
      </c>
      <c r="L65" s="3">
        <f t="shared" si="4"/>
        <v>7.1428571428571425E-2</v>
      </c>
      <c r="M65" s="3">
        <f t="shared" si="5"/>
        <v>0.6428571428571429</v>
      </c>
      <c r="N65" s="3">
        <f t="shared" si="9"/>
        <v>1</v>
      </c>
      <c r="O65">
        <f t="shared" si="10"/>
        <v>1.4119036289683393</v>
      </c>
      <c r="P65" s="4">
        <f>O65/MAX(O$14:O65)-1</f>
        <v>-6.0776528286784925E-2</v>
      </c>
      <c r="Q65" s="4">
        <f t="shared" si="11"/>
        <v>-5.1558851376098946E-4</v>
      </c>
    </row>
    <row r="66" spans="1:17" x14ac:dyDescent="0.3">
      <c r="A66" s="2">
        <v>41516</v>
      </c>
      <c r="B66" t="s">
        <v>68</v>
      </c>
      <c r="C66" t="s">
        <v>177</v>
      </c>
      <c r="D66" t="s">
        <v>314</v>
      </c>
      <c r="E66" s="4">
        <f t="shared" si="1"/>
        <v>1.3181545835829755E-2</v>
      </c>
      <c r="F66" s="4">
        <f t="shared" si="1"/>
        <v>2.1784839485834429E-3</v>
      </c>
      <c r="G66" s="4">
        <f t="shared" si="1"/>
        <v>4.2234245022774175E-3</v>
      </c>
      <c r="H66" s="7">
        <f t="shared" si="6"/>
        <v>4</v>
      </c>
      <c r="I66" s="7">
        <f t="shared" si="7"/>
        <v>1</v>
      </c>
      <c r="J66" s="7">
        <f t="shared" si="8"/>
        <v>10</v>
      </c>
      <c r="K66" s="3">
        <f t="shared" si="3"/>
        <v>0.26666666666666666</v>
      </c>
      <c r="L66" s="3">
        <f t="shared" si="4"/>
        <v>6.6666666666666666E-2</v>
      </c>
      <c r="M66" s="3">
        <f t="shared" si="5"/>
        <v>0.66666666666666663</v>
      </c>
      <c r="N66" s="3">
        <f t="shared" si="9"/>
        <v>1</v>
      </c>
      <c r="O66">
        <f t="shared" si="10"/>
        <v>1.4212741799990314</v>
      </c>
      <c r="P66" s="4">
        <f>O66/MAX(O$14:O66)-1</f>
        <v>-5.4543070641135838E-2</v>
      </c>
      <c r="Q66" s="4">
        <f t="shared" si="11"/>
        <v>6.6368205580285E-3</v>
      </c>
    </row>
    <row r="67" spans="1:17" x14ac:dyDescent="0.3">
      <c r="A67" s="2">
        <v>41547</v>
      </c>
      <c r="B67" t="s">
        <v>69</v>
      </c>
      <c r="C67" t="s">
        <v>178</v>
      </c>
      <c r="D67" t="s">
        <v>315</v>
      </c>
      <c r="E67" s="4">
        <f t="shared" si="1"/>
        <v>4.0303871173179351E-2</v>
      </c>
      <c r="F67" s="4">
        <f t="shared" si="1"/>
        <v>1.2631533411920026E-2</v>
      </c>
      <c r="G67" s="4">
        <f t="shared" si="1"/>
        <v>4.6102575568829351E-3</v>
      </c>
      <c r="H67" s="7">
        <f t="shared" si="6"/>
        <v>9</v>
      </c>
      <c r="I67" s="7">
        <f t="shared" si="7"/>
        <v>8</v>
      </c>
      <c r="J67" s="7">
        <f t="shared" si="8"/>
        <v>12</v>
      </c>
      <c r="K67" s="3">
        <f t="shared" ref="K67:K130" si="12">H67/SUM($H67:$J67)</f>
        <v>0.31034482758620691</v>
      </c>
      <c r="L67" s="3">
        <f t="shared" ref="L67:L130" si="13">I67/SUM($H67:$J67)</f>
        <v>0.27586206896551724</v>
      </c>
      <c r="M67" s="3">
        <f t="shared" si="5"/>
        <v>0.41379310344827586</v>
      </c>
      <c r="N67" s="3">
        <f t="shared" si="9"/>
        <v>1</v>
      </c>
      <c r="O67">
        <f t="shared" si="10"/>
        <v>1.4421147585583232</v>
      </c>
      <c r="P67" s="4">
        <f>O67/MAX(O$14:O67)-1</f>
        <v>-4.0679546144586132E-2</v>
      </c>
      <c r="Q67" s="4">
        <f t="shared" si="11"/>
        <v>1.4663306244897756E-2</v>
      </c>
    </row>
    <row r="68" spans="1:17" x14ac:dyDescent="0.3">
      <c r="A68" s="2">
        <v>41578</v>
      </c>
      <c r="B68" t="s">
        <v>70</v>
      </c>
      <c r="C68" t="s">
        <v>179</v>
      </c>
      <c r="D68" t="s">
        <v>316</v>
      </c>
      <c r="E68" s="4">
        <f t="shared" ref="E68:G131" si="14">IFERROR(B68/B67-1,0)</f>
        <v>2.553675280948009E-2</v>
      </c>
      <c r="F68" s="4">
        <f t="shared" si="14"/>
        <v>4.528221284775924E-3</v>
      </c>
      <c r="G68" s="4">
        <f t="shared" si="14"/>
        <v>2.5966042775080744E-3</v>
      </c>
      <c r="H68" s="7">
        <f t="shared" si="6"/>
        <v>12</v>
      </c>
      <c r="I68" s="7">
        <f t="shared" si="7"/>
        <v>8</v>
      </c>
      <c r="J68" s="7">
        <f t="shared" si="8"/>
        <v>12</v>
      </c>
      <c r="K68" s="3">
        <f t="shared" si="12"/>
        <v>0.375</v>
      </c>
      <c r="L68" s="3">
        <f t="shared" si="13"/>
        <v>0.25</v>
      </c>
      <c r="M68" s="3">
        <f t="shared" si="5"/>
        <v>0.375</v>
      </c>
      <c r="N68" s="3">
        <f t="shared" si="9"/>
        <v>1</v>
      </c>
      <c r="O68">
        <f t="shared" si="10"/>
        <v>1.4568947339782188</v>
      </c>
      <c r="P68" s="4">
        <f>O68/MAX(O$14:O68)-1</f>
        <v>-3.0847642931862262E-2</v>
      </c>
      <c r="Q68" s="4">
        <f t="shared" si="11"/>
        <v>1.0248820582538842E-2</v>
      </c>
    </row>
    <row r="69" spans="1:17" x14ac:dyDescent="0.3">
      <c r="A69" s="2">
        <v>41607</v>
      </c>
      <c r="B69" t="s">
        <v>71</v>
      </c>
      <c r="C69" t="s">
        <v>180</v>
      </c>
      <c r="D69" t="s">
        <v>317</v>
      </c>
      <c r="E69" s="4">
        <f t="shared" si="14"/>
        <v>8.1013090009807165E-3</v>
      </c>
      <c r="F69" s="4">
        <f t="shared" si="14"/>
        <v>-1.6351438990420908E-2</v>
      </c>
      <c r="G69" s="4">
        <f t="shared" si="14"/>
        <v>-3.2452774342223156E-3</v>
      </c>
      <c r="H69" s="7">
        <f t="shared" si="6"/>
        <v>12</v>
      </c>
      <c r="I69" s="7">
        <f t="shared" si="7"/>
        <v>2</v>
      </c>
      <c r="J69" s="7">
        <f t="shared" si="8"/>
        <v>10</v>
      </c>
      <c r="K69" s="3">
        <f t="shared" si="12"/>
        <v>0.5</v>
      </c>
      <c r="L69" s="3">
        <f t="shared" si="13"/>
        <v>8.3333333333333329E-2</v>
      </c>
      <c r="M69" s="3">
        <f t="shared" si="5"/>
        <v>0.41666666666666669</v>
      </c>
      <c r="N69" s="3">
        <f t="shared" si="9"/>
        <v>1</v>
      </c>
      <c r="O69">
        <f t="shared" si="10"/>
        <v>1.4535921751953071</v>
      </c>
      <c r="P69" s="4">
        <f>O69/MAX(O$14:O69)-1</f>
        <v>-3.3044563927022264E-2</v>
      </c>
      <c r="Q69" s="4">
        <f t="shared" si="11"/>
        <v>-2.2668479100708128E-3</v>
      </c>
    </row>
    <row r="70" spans="1:17" x14ac:dyDescent="0.3">
      <c r="A70" s="2">
        <v>41638</v>
      </c>
      <c r="B70" t="s">
        <v>72</v>
      </c>
      <c r="C70" t="s">
        <v>181</v>
      </c>
      <c r="D70" t="s">
        <v>318</v>
      </c>
      <c r="E70" s="4">
        <f t="shared" si="14"/>
        <v>-1.1631349659518619E-2</v>
      </c>
      <c r="F70" s="4">
        <f t="shared" si="14"/>
        <v>1.0527339739086372E-2</v>
      </c>
      <c r="G70" s="4">
        <f t="shared" si="14"/>
        <v>6.1829211385908689E-3</v>
      </c>
      <c r="H70" s="7">
        <f t="shared" si="6"/>
        <v>9</v>
      </c>
      <c r="I70" s="7">
        <f t="shared" si="7"/>
        <v>5</v>
      </c>
      <c r="J70" s="7">
        <f t="shared" si="8"/>
        <v>12</v>
      </c>
      <c r="K70" s="3">
        <f t="shared" si="12"/>
        <v>0.34615384615384615</v>
      </c>
      <c r="L70" s="3">
        <f t="shared" si="13"/>
        <v>0.19230769230769232</v>
      </c>
      <c r="M70" s="3">
        <f t="shared" si="5"/>
        <v>0.46153846153846156</v>
      </c>
      <c r="N70" s="3">
        <f t="shared" si="9"/>
        <v>1</v>
      </c>
      <c r="O70">
        <f t="shared" si="10"/>
        <v>1.4501585297363624</v>
      </c>
      <c r="P70" s="4">
        <f>O70/MAX(O$14:O70)-1</f>
        <v>-3.5328686116678276E-2</v>
      </c>
      <c r="Q70" s="4">
        <f t="shared" si="11"/>
        <v>-2.3621793770892685E-3</v>
      </c>
    </row>
    <row r="71" spans="1:17" x14ac:dyDescent="0.3">
      <c r="A71" s="2">
        <v>41668</v>
      </c>
      <c r="B71" t="s">
        <v>73</v>
      </c>
      <c r="C71" t="s">
        <v>182</v>
      </c>
      <c r="D71" t="s">
        <v>319</v>
      </c>
      <c r="E71" s="4">
        <f t="shared" si="14"/>
        <v>-3.9584046559397512E-2</v>
      </c>
      <c r="F71" s="4">
        <f t="shared" si="14"/>
        <v>-1.4760147601475815E-3</v>
      </c>
      <c r="G71" s="4">
        <f t="shared" si="14"/>
        <v>1.5915678524374144E-3</v>
      </c>
      <c r="H71" s="7">
        <f t="shared" si="6"/>
        <v>4</v>
      </c>
      <c r="I71" s="7">
        <f t="shared" si="7"/>
        <v>4</v>
      </c>
      <c r="J71" s="7">
        <f t="shared" si="8"/>
        <v>12</v>
      </c>
      <c r="K71" s="3">
        <f t="shared" si="12"/>
        <v>0.2</v>
      </c>
      <c r="L71" s="3">
        <f t="shared" si="13"/>
        <v>0.2</v>
      </c>
      <c r="M71" s="3">
        <f t="shared" si="5"/>
        <v>0.6</v>
      </c>
      <c r="N71" s="3">
        <f t="shared" si="9"/>
        <v>1</v>
      </c>
      <c r="O71">
        <f t="shared" si="10"/>
        <v>1.4309418276807411</v>
      </c>
      <c r="P71" s="4">
        <f>O71/MAX(O$14:O71)-1</f>
        <v>-4.8111979005263872E-2</v>
      </c>
      <c r="Q71" s="4">
        <f t="shared" si="11"/>
        <v>-1.3251449177156482E-2</v>
      </c>
    </row>
    <row r="72" spans="1:17" x14ac:dyDescent="0.3">
      <c r="A72" s="2">
        <v>41698</v>
      </c>
      <c r="B72" t="s">
        <v>74</v>
      </c>
      <c r="C72" t="s">
        <v>183</v>
      </c>
      <c r="D72" t="s">
        <v>320</v>
      </c>
      <c r="E72" s="4">
        <f t="shared" si="14"/>
        <v>1.5595063048612134E-2</v>
      </c>
      <c r="F72" s="4">
        <f t="shared" si="14"/>
        <v>1.1868419079447801E-2</v>
      </c>
      <c r="G72" s="4">
        <f t="shared" si="14"/>
        <v>4.3882726832655816E-3</v>
      </c>
      <c r="H72" s="7">
        <f t="shared" si="6"/>
        <v>5</v>
      </c>
      <c r="I72" s="7">
        <f t="shared" si="7"/>
        <v>9</v>
      </c>
      <c r="J72" s="7">
        <f t="shared" si="8"/>
        <v>12</v>
      </c>
      <c r="K72" s="3">
        <f t="shared" si="12"/>
        <v>0.19230769230769232</v>
      </c>
      <c r="L72" s="3">
        <f t="shared" si="13"/>
        <v>0.34615384615384615</v>
      </c>
      <c r="M72" s="3">
        <f t="shared" si="5"/>
        <v>0.46153846153846156</v>
      </c>
      <c r="N72" s="3">
        <f t="shared" si="9"/>
        <v>1</v>
      </c>
      <c r="O72">
        <f t="shared" si="10"/>
        <v>1.4425691745031537</v>
      </c>
      <c r="P72" s="4">
        <f>O72/MAX(O$14:O72)-1</f>
        <v>-4.0377260554728012E-2</v>
      </c>
      <c r="Q72" s="4">
        <f t="shared" si="11"/>
        <v>8.1256600355712472E-3</v>
      </c>
    </row>
    <row r="73" spans="1:17" x14ac:dyDescent="0.3">
      <c r="A73" s="2">
        <v>41729</v>
      </c>
      <c r="B73" t="s">
        <v>75</v>
      </c>
      <c r="C73" t="s">
        <v>184</v>
      </c>
      <c r="D73" t="s">
        <v>321</v>
      </c>
      <c r="E73" s="4">
        <f t="shared" si="14"/>
        <v>-1.3161935682004522E-4</v>
      </c>
      <c r="F73" s="4">
        <f t="shared" si="14"/>
        <v>2.7629280685967927E-3</v>
      </c>
      <c r="G73" s="4">
        <f t="shared" si="14"/>
        <v>1.7602129019413937E-3</v>
      </c>
      <c r="H73" s="7">
        <f t="shared" si="6"/>
        <v>5</v>
      </c>
      <c r="I73" s="7">
        <f t="shared" si="7"/>
        <v>10</v>
      </c>
      <c r="J73" s="7">
        <f t="shared" si="8"/>
        <v>12</v>
      </c>
      <c r="K73" s="3">
        <f t="shared" si="12"/>
        <v>0.18518518518518517</v>
      </c>
      <c r="L73" s="3">
        <f t="shared" si="13"/>
        <v>0.37037037037037035</v>
      </c>
      <c r="M73" s="3">
        <f t="shared" si="5"/>
        <v>0.44444444444444442</v>
      </c>
      <c r="N73" s="3">
        <f t="shared" si="9"/>
        <v>1</v>
      </c>
      <c r="O73">
        <f t="shared" si="10"/>
        <v>1.4450842833534769</v>
      </c>
      <c r="P73" s="4">
        <f>O73/MAX(O$14:O73)-1</f>
        <v>-3.8704165296899906E-2</v>
      </c>
      <c r="Q73" s="4">
        <f t="shared" si="11"/>
        <v>1.7434927175603576E-3</v>
      </c>
    </row>
    <row r="74" spans="1:17" x14ac:dyDescent="0.3">
      <c r="A74" s="2">
        <v>41759</v>
      </c>
      <c r="B74" t="s">
        <v>76</v>
      </c>
      <c r="C74" t="s">
        <v>185</v>
      </c>
      <c r="D74" t="s">
        <v>172</v>
      </c>
      <c r="E74" s="4">
        <f t="shared" si="14"/>
        <v>-1.0048266783677096E-2</v>
      </c>
      <c r="F74" s="4">
        <f t="shared" si="14"/>
        <v>1.9318877604881379E-3</v>
      </c>
      <c r="G74" s="4">
        <f t="shared" si="14"/>
        <v>2.855319994561345E-3</v>
      </c>
      <c r="H74" s="7">
        <f t="shared" si="6"/>
        <v>5</v>
      </c>
      <c r="I74" s="7">
        <f t="shared" si="7"/>
        <v>11</v>
      </c>
      <c r="J74" s="7">
        <f t="shared" si="8"/>
        <v>12</v>
      </c>
      <c r="K74" s="3">
        <f t="shared" si="12"/>
        <v>0.17857142857142858</v>
      </c>
      <c r="L74" s="3">
        <f t="shared" si="13"/>
        <v>0.39285714285714285</v>
      </c>
      <c r="M74" s="3">
        <f t="shared" si="5"/>
        <v>0.42857142857142855</v>
      </c>
      <c r="N74" s="3">
        <f t="shared" si="9"/>
        <v>1</v>
      </c>
      <c r="O74">
        <f t="shared" si="10"/>
        <v>1.4452631196851695</v>
      </c>
      <c r="P74" s="4">
        <f>O74/MAX(O$14:O74)-1</f>
        <v>-3.858520017996514E-2</v>
      </c>
      <c r="Q74" s="4">
        <f t="shared" si="11"/>
        <v>1.2375494893457351E-4</v>
      </c>
    </row>
    <row r="75" spans="1:17" x14ac:dyDescent="0.3">
      <c r="A75" s="2">
        <v>41789</v>
      </c>
      <c r="B75" t="s">
        <v>77</v>
      </c>
      <c r="C75" t="s">
        <v>186</v>
      </c>
      <c r="D75" t="s">
        <v>322</v>
      </c>
      <c r="E75" s="4">
        <f t="shared" si="14"/>
        <v>2.2428083861530945E-2</v>
      </c>
      <c r="F75" s="4">
        <f t="shared" si="14"/>
        <v>1.697415418980297E-2</v>
      </c>
      <c r="G75" s="4">
        <f t="shared" si="14"/>
        <v>4.5888782278586948E-3</v>
      </c>
      <c r="H75" s="7">
        <f t="shared" si="6"/>
        <v>9</v>
      </c>
      <c r="I75" s="7">
        <f t="shared" si="7"/>
        <v>12</v>
      </c>
      <c r="J75" s="7">
        <f t="shared" si="8"/>
        <v>12</v>
      </c>
      <c r="K75" s="3">
        <f t="shared" si="12"/>
        <v>0.27272727272727271</v>
      </c>
      <c r="L75" s="3">
        <f t="shared" si="13"/>
        <v>0.36363636363636365</v>
      </c>
      <c r="M75" s="3">
        <f t="shared" si="5"/>
        <v>0.36363636363636365</v>
      </c>
      <c r="N75" s="3">
        <f t="shared" si="9"/>
        <v>1</v>
      </c>
      <c r="O75">
        <f t="shared" si="10"/>
        <v>1.4635313825149867</v>
      </c>
      <c r="P75" s="4">
        <f>O75/MAX(O$14:O75)-1</f>
        <v>-2.6432825977394714E-2</v>
      </c>
      <c r="Q75" s="4">
        <f t="shared" si="11"/>
        <v>1.2640094790349776E-2</v>
      </c>
    </row>
    <row r="76" spans="1:17" x14ac:dyDescent="0.3">
      <c r="A76" s="2">
        <v>41820</v>
      </c>
      <c r="B76" t="s">
        <v>78</v>
      </c>
      <c r="C76" t="s">
        <v>187</v>
      </c>
      <c r="D76" t="s">
        <v>323</v>
      </c>
      <c r="E76" s="4">
        <f t="shared" si="14"/>
        <v>-4.161789569514851E-3</v>
      </c>
      <c r="F76" s="4">
        <f t="shared" si="14"/>
        <v>1.6255698300870369E-2</v>
      </c>
      <c r="G76" s="4">
        <f t="shared" si="14"/>
        <v>6.2497404592831707E-3</v>
      </c>
      <c r="H76" s="7">
        <f t="shared" si="6"/>
        <v>8</v>
      </c>
      <c r="I76" s="7">
        <f t="shared" si="7"/>
        <v>12</v>
      </c>
      <c r="J76" s="7">
        <f t="shared" si="8"/>
        <v>12</v>
      </c>
      <c r="K76" s="3">
        <f t="shared" si="12"/>
        <v>0.25</v>
      </c>
      <c r="L76" s="3">
        <f t="shared" si="13"/>
        <v>0.375</v>
      </c>
      <c r="M76" s="3">
        <f t="shared" si="5"/>
        <v>0.375</v>
      </c>
      <c r="N76" s="3">
        <f t="shared" si="9"/>
        <v>1</v>
      </c>
      <c r="O76">
        <f t="shared" si="10"/>
        <v>1.4738474674862403</v>
      </c>
      <c r="P76" s="4">
        <f>O76/MAX(O$14:O76)-1</f>
        <v>-1.9570382293282229E-2</v>
      </c>
      <c r="Q76" s="4">
        <f t="shared" si="11"/>
        <v>7.0487623938244592E-3</v>
      </c>
    </row>
    <row r="77" spans="1:17" x14ac:dyDescent="0.3">
      <c r="A77" s="2">
        <v>41851</v>
      </c>
      <c r="B77" t="s">
        <v>79</v>
      </c>
      <c r="C77" t="s">
        <v>188</v>
      </c>
      <c r="D77" t="s">
        <v>324</v>
      </c>
      <c r="E77" s="4">
        <f t="shared" si="14"/>
        <v>4.0485829959514108E-2</v>
      </c>
      <c r="F77" s="4">
        <f t="shared" si="14"/>
        <v>1.002151107667526E-2</v>
      </c>
      <c r="G77" s="4">
        <f t="shared" si="14"/>
        <v>6.6751955099766391E-3</v>
      </c>
      <c r="H77" s="7">
        <f t="shared" si="6"/>
        <v>12</v>
      </c>
      <c r="I77" s="7">
        <f t="shared" si="7"/>
        <v>12</v>
      </c>
      <c r="J77" s="7">
        <f t="shared" si="8"/>
        <v>12</v>
      </c>
      <c r="K77" s="3">
        <f t="shared" si="12"/>
        <v>0.33333333333333331</v>
      </c>
      <c r="L77" s="3">
        <f t="shared" si="13"/>
        <v>0.33333333333333331</v>
      </c>
      <c r="M77" s="3">
        <f t="shared" si="5"/>
        <v>0.33333333333333331</v>
      </c>
      <c r="N77" s="3">
        <f t="shared" si="9"/>
        <v>1</v>
      </c>
      <c r="O77">
        <f t="shared" si="10"/>
        <v>1.497993101494254</v>
      </c>
      <c r="P77" s="4">
        <f>O77/MAX(O$14:O77)-1</f>
        <v>-3.508275974953734E-3</v>
      </c>
      <c r="Q77" s="4">
        <f t="shared" si="11"/>
        <v>1.6382722459872934E-2</v>
      </c>
    </row>
    <row r="78" spans="1:17" x14ac:dyDescent="0.3">
      <c r="A78" s="2">
        <v>41880</v>
      </c>
      <c r="B78" t="s">
        <v>80</v>
      </c>
      <c r="C78" t="s">
        <v>189</v>
      </c>
      <c r="D78" t="s">
        <v>325</v>
      </c>
      <c r="E78" s="4">
        <f t="shared" si="14"/>
        <v>-1.8785824860884537E-2</v>
      </c>
      <c r="F78" s="4">
        <f t="shared" si="14"/>
        <v>3.9264373385012874E-3</v>
      </c>
      <c r="G78" s="4">
        <f t="shared" si="14"/>
        <v>2.428950631834681E-3</v>
      </c>
      <c r="H78" s="7">
        <f t="shared" si="6"/>
        <v>9</v>
      </c>
      <c r="I78" s="7">
        <f t="shared" si="7"/>
        <v>12</v>
      </c>
      <c r="J78" s="7">
        <f t="shared" si="8"/>
        <v>12</v>
      </c>
      <c r="K78" s="3">
        <f t="shared" si="12"/>
        <v>0.27272727272727271</v>
      </c>
      <c r="L78" s="3">
        <f t="shared" si="13"/>
        <v>0.36363636363636365</v>
      </c>
      <c r="M78" s="3">
        <f t="shared" ref="M78:M141" si="15">J78/SUM($H78:$J78)</f>
        <v>0.36363636363636365</v>
      </c>
      <c r="N78" s="3">
        <f t="shared" si="9"/>
        <v>1</v>
      </c>
      <c r="O78">
        <f t="shared" si="10"/>
        <v>1.4917861985907201</v>
      </c>
      <c r="P78" s="4">
        <f>O78/MAX(O$14:O78)-1</f>
        <v>-7.6372184707694801E-3</v>
      </c>
      <c r="Q78" s="4">
        <f t="shared" si="11"/>
        <v>-4.1434789635161895E-3</v>
      </c>
    </row>
    <row r="79" spans="1:17" x14ac:dyDescent="0.3">
      <c r="A79" s="2">
        <v>41912</v>
      </c>
      <c r="B79" t="s">
        <v>81</v>
      </c>
      <c r="C79" t="s">
        <v>190</v>
      </c>
      <c r="D79" t="s">
        <v>326</v>
      </c>
      <c r="E79" s="4">
        <f t="shared" si="14"/>
        <v>-2.9038035135596107E-2</v>
      </c>
      <c r="F79" s="4">
        <f t="shared" si="14"/>
        <v>1.6549200189018842E-2</v>
      </c>
      <c r="G79" s="4">
        <f t="shared" si="14"/>
        <v>8.1177793681628252E-3</v>
      </c>
      <c r="H79" s="7">
        <f t="shared" ref="H79:H142" si="16">IFERROR(IF(B79/B78&gt;=1,1,0)+ IF(B79/B77&gt;=1,1,0)+ IF(B79/B76&gt;=1,1,0)+ IF(B79/B75&gt;=1,1,0)+ IF(B79/B74&gt;=1,1,0)+ IF(B79/B73&gt;=1,1,0)+ IF(B79/B72&gt;=1,1,0)+ IF(B79/B71&gt;=1,1,0)+ IF(B79/B70&gt;=1,1,0)+ IF(B79/B69&gt;=1,1,0)+ IF(B79/B68&gt;=1,1,0)+ IF(B79/B67&gt;=1,1,0),0)</f>
        <v>2</v>
      </c>
      <c r="I79" s="7">
        <f t="shared" ref="I79:I142" si="17">IFERROR(IF(C79/C78&gt;=1,1,0)+ IF(C79/C77&gt;=1,1,0)+ IF(C79/C76&gt;=1,1,0)+ IF(C79/C75&gt;=1,1,0)+ IF(C79/C74&gt;=1,1,0)+ IF(C79/C73&gt;=1,1,0)+ IF(C79/C72&gt;=1,1,0)+ IF(C79/C71&gt;=1,1,0)+ IF(C79/C70&gt;=1,1,0)+ IF(C79/C69&gt;=1,1,0)+ IF(C79/C68&gt;=1,1,0)+ IF(C79/C67&gt;=1,1,0),0)</f>
        <v>12</v>
      </c>
      <c r="J79" s="7">
        <f t="shared" ref="J79:J142" si="18">IFERROR(IF(D79/D78&gt;=1,1,0)+ IF(D79/D77&gt;=1,1,0)+ IF(D79/D76&gt;=1,1,0)+ IF(D79/D75&gt;=1,1,0)+ IF(D79/D74&gt;=1,1,0)+ IF(D79/D73&gt;=1,1,0)+ IF(D79/D72&gt;=1,1,0)+ IF(D79/D71&gt;=1,1,0)+ IF(D79/D70&gt;=1,1,0)+ IF(D79/D69&gt;=1,1,0)+ IF(D79/D68&gt;=1,1,0)+ IF(D79/D67&gt;=1,1,0),0)</f>
        <v>12</v>
      </c>
      <c r="K79" s="3">
        <f t="shared" si="12"/>
        <v>7.6923076923076927E-2</v>
      </c>
      <c r="L79" s="3">
        <f t="shared" si="13"/>
        <v>0.46153846153846156</v>
      </c>
      <c r="M79" s="3">
        <f t="shared" si="15"/>
        <v>0.46153846153846156</v>
      </c>
      <c r="N79" s="3">
        <f t="shared" ref="N79:N142" si="19">SUM(K79:M79)</f>
        <v>1</v>
      </c>
      <c r="O79">
        <f t="shared" ref="O79:O142" si="20">(1+SUMPRODUCT(K78:M78,E79:G79))*O78</f>
        <v>1.4933530911824353</v>
      </c>
      <c r="P79" s="4">
        <f>O79/MAX(O$14:O79)-1</f>
        <v>-6.5948935772016659E-3</v>
      </c>
      <c r="Q79" s="4">
        <f t="shared" si="11"/>
        <v>1.0503466201761125E-3</v>
      </c>
    </row>
    <row r="80" spans="1:17" x14ac:dyDescent="0.3">
      <c r="A80" s="2">
        <v>41943</v>
      </c>
      <c r="B80" t="s">
        <v>82</v>
      </c>
      <c r="C80" t="s">
        <v>191</v>
      </c>
      <c r="D80" t="s">
        <v>327</v>
      </c>
      <c r="E80" s="4">
        <f t="shared" si="14"/>
        <v>-2.7535022616485882E-2</v>
      </c>
      <c r="F80" s="4">
        <f t="shared" si="14"/>
        <v>1.9513980238756945E-2</v>
      </c>
      <c r="G80" s="4">
        <f t="shared" si="14"/>
        <v>7.7177396454504166E-3</v>
      </c>
      <c r="H80" s="7">
        <f t="shared" si="16"/>
        <v>0</v>
      </c>
      <c r="I80" s="7">
        <f t="shared" si="17"/>
        <v>12</v>
      </c>
      <c r="J80" s="7">
        <f t="shared" si="18"/>
        <v>12</v>
      </c>
      <c r="K80" s="3">
        <f t="shared" si="12"/>
        <v>0</v>
      </c>
      <c r="L80" s="3">
        <f t="shared" si="13"/>
        <v>0.5</v>
      </c>
      <c r="M80" s="3">
        <f t="shared" si="15"/>
        <v>0.5</v>
      </c>
      <c r="N80" s="3">
        <f t="shared" si="19"/>
        <v>1</v>
      </c>
      <c r="O80">
        <f t="shared" si="20"/>
        <v>1.5089592394334865</v>
      </c>
      <c r="P80" s="4">
        <f>O80/MAX(O$14:O80)-1</f>
        <v>0</v>
      </c>
      <c r="Q80" s="4">
        <f t="shared" ref="Q80:Q143" si="21">O80/O79-1</f>
        <v>1.0450407437596843E-2</v>
      </c>
    </row>
    <row r="81" spans="1:17" x14ac:dyDescent="0.3">
      <c r="A81" s="2">
        <v>41971</v>
      </c>
      <c r="B81" t="s">
        <v>83</v>
      </c>
      <c r="C81" t="s">
        <v>192</v>
      </c>
      <c r="D81" t="s">
        <v>328</v>
      </c>
      <c r="E81" s="4">
        <f t="shared" si="14"/>
        <v>1.3276734104046284E-2</v>
      </c>
      <c r="F81" s="4">
        <f t="shared" si="14"/>
        <v>6.4221963523476422E-3</v>
      </c>
      <c r="G81" s="4">
        <f t="shared" si="14"/>
        <v>3.1097468927689942E-3</v>
      </c>
      <c r="H81" s="7">
        <f t="shared" si="16"/>
        <v>1</v>
      </c>
      <c r="I81" s="7">
        <f t="shared" si="17"/>
        <v>12</v>
      </c>
      <c r="J81" s="7">
        <f t="shared" si="18"/>
        <v>12</v>
      </c>
      <c r="K81" s="3">
        <f t="shared" si="12"/>
        <v>0.04</v>
      </c>
      <c r="L81" s="3">
        <f t="shared" si="13"/>
        <v>0.48</v>
      </c>
      <c r="M81" s="3">
        <f t="shared" si="15"/>
        <v>0.48</v>
      </c>
      <c r="N81" s="3">
        <f t="shared" si="19"/>
        <v>1</v>
      </c>
      <c r="O81">
        <f t="shared" si="20"/>
        <v>1.5161508963482238</v>
      </c>
      <c r="P81" s="4">
        <f>O81/MAX(O$14:O81)-1</f>
        <v>0</v>
      </c>
      <c r="Q81" s="4">
        <f t="shared" si="21"/>
        <v>4.7659716225583182E-3</v>
      </c>
    </row>
    <row r="82" spans="1:17" x14ac:dyDescent="0.3">
      <c r="A82" s="2">
        <v>42003</v>
      </c>
      <c r="B82" t="s">
        <v>84</v>
      </c>
      <c r="C82" t="s">
        <v>193</v>
      </c>
      <c r="D82" t="s">
        <v>329</v>
      </c>
      <c r="E82" s="4">
        <f t="shared" si="14"/>
        <v>-2.705232195382834E-2</v>
      </c>
      <c r="F82" s="4">
        <f t="shared" si="14"/>
        <v>1.8411058202079111E-3</v>
      </c>
      <c r="G82" s="4">
        <f t="shared" si="14"/>
        <v>7.7251841001668708E-4</v>
      </c>
      <c r="H82" s="7">
        <f t="shared" si="16"/>
        <v>0</v>
      </c>
      <c r="I82" s="7">
        <f t="shared" si="17"/>
        <v>12</v>
      </c>
      <c r="J82" s="7">
        <f t="shared" si="18"/>
        <v>12</v>
      </c>
      <c r="K82" s="3">
        <f t="shared" si="12"/>
        <v>0</v>
      </c>
      <c r="L82" s="3">
        <f t="shared" si="13"/>
        <v>0.5</v>
      </c>
      <c r="M82" s="3">
        <f t="shared" si="15"/>
        <v>0.5</v>
      </c>
      <c r="N82" s="3">
        <f t="shared" si="19"/>
        <v>1</v>
      </c>
      <c r="O82">
        <f t="shared" si="20"/>
        <v>1.5164123516463788</v>
      </c>
      <c r="P82" s="4">
        <f>O82/MAX(O$14:O82)-1</f>
        <v>0</v>
      </c>
      <c r="Q82" s="4">
        <f t="shared" si="21"/>
        <v>1.7244675235472684E-4</v>
      </c>
    </row>
    <row r="83" spans="1:17" x14ac:dyDescent="0.3">
      <c r="A83" s="2">
        <v>42034</v>
      </c>
      <c r="B83" t="s">
        <v>85</v>
      </c>
      <c r="C83" t="s">
        <v>194</v>
      </c>
      <c r="D83" t="s">
        <v>330</v>
      </c>
      <c r="E83" s="4">
        <f t="shared" si="14"/>
        <v>3.0507077092208235E-2</v>
      </c>
      <c r="F83" s="4">
        <f t="shared" si="14"/>
        <v>2.9595989724149119E-2</v>
      </c>
      <c r="G83" s="4">
        <f t="shared" si="14"/>
        <v>7.0174735090375862E-3</v>
      </c>
      <c r="H83" s="7">
        <f t="shared" si="16"/>
        <v>4</v>
      </c>
      <c r="I83" s="7">
        <f t="shared" si="17"/>
        <v>12</v>
      </c>
      <c r="J83" s="7">
        <f t="shared" si="18"/>
        <v>12</v>
      </c>
      <c r="K83" s="3">
        <f t="shared" si="12"/>
        <v>0.14285714285714285</v>
      </c>
      <c r="L83" s="3">
        <f t="shared" si="13"/>
        <v>0.42857142857142855</v>
      </c>
      <c r="M83" s="3">
        <f t="shared" si="15"/>
        <v>0.42857142857142855</v>
      </c>
      <c r="N83" s="3">
        <f t="shared" si="19"/>
        <v>1</v>
      </c>
      <c r="O83">
        <f t="shared" si="20"/>
        <v>1.5441729055880564</v>
      </c>
      <c r="P83" s="4">
        <f>O83/MAX(O$14:O83)-1</f>
        <v>0</v>
      </c>
      <c r="Q83" s="4">
        <f t="shared" si="21"/>
        <v>1.8306731616593463E-2</v>
      </c>
    </row>
    <row r="84" spans="1:17" x14ac:dyDescent="0.3">
      <c r="A84" s="2">
        <v>42062</v>
      </c>
      <c r="B84" t="s">
        <v>86</v>
      </c>
      <c r="C84" t="s">
        <v>195</v>
      </c>
      <c r="D84" t="s">
        <v>331</v>
      </c>
      <c r="E84" s="4">
        <f t="shared" si="14"/>
        <v>2.355869671511801E-3</v>
      </c>
      <c r="F84" s="4">
        <f t="shared" si="14"/>
        <v>-7.0554813146558315E-3</v>
      </c>
      <c r="G84" s="4">
        <f t="shared" si="14"/>
        <v>-1.9910204975559509E-4</v>
      </c>
      <c r="H84" s="7">
        <f t="shared" si="16"/>
        <v>4</v>
      </c>
      <c r="I84" s="7">
        <f t="shared" si="17"/>
        <v>11</v>
      </c>
      <c r="J84" s="7">
        <f t="shared" si="18"/>
        <v>11</v>
      </c>
      <c r="K84" s="3">
        <f t="shared" si="12"/>
        <v>0.15384615384615385</v>
      </c>
      <c r="L84" s="3">
        <f t="shared" si="13"/>
        <v>0.42307692307692307</v>
      </c>
      <c r="M84" s="3">
        <f t="shared" si="15"/>
        <v>0.42307692307692307</v>
      </c>
      <c r="N84" s="3">
        <f t="shared" si="19"/>
        <v>1</v>
      </c>
      <c r="O84">
        <f t="shared" si="20"/>
        <v>1.539891602287754</v>
      </c>
      <c r="P84" s="4">
        <f>O84/MAX(O$14:O84)-1</f>
        <v>-2.7725543459603541E-3</v>
      </c>
      <c r="Q84" s="4">
        <f t="shared" si="21"/>
        <v>-2.7725543459603541E-3</v>
      </c>
    </row>
    <row r="85" spans="1:17" x14ac:dyDescent="0.3">
      <c r="A85" s="2">
        <v>42094</v>
      </c>
      <c r="B85" t="s">
        <v>87</v>
      </c>
      <c r="C85" t="s">
        <v>196</v>
      </c>
      <c r="D85" t="s">
        <v>332</v>
      </c>
      <c r="E85" s="4">
        <f t="shared" si="14"/>
        <v>2.164079822616416E-2</v>
      </c>
      <c r="F85" s="4">
        <f t="shared" si="14"/>
        <v>1.8898112071074946E-2</v>
      </c>
      <c r="G85" s="4">
        <f t="shared" si="14"/>
        <v>1.0584381316525837E-2</v>
      </c>
      <c r="H85" s="7">
        <f t="shared" si="16"/>
        <v>9</v>
      </c>
      <c r="I85" s="7">
        <f t="shared" si="17"/>
        <v>12</v>
      </c>
      <c r="J85" s="7">
        <f t="shared" si="18"/>
        <v>12</v>
      </c>
      <c r="K85" s="3">
        <f t="shared" si="12"/>
        <v>0.27272727272727271</v>
      </c>
      <c r="L85" s="3">
        <f t="shared" si="13"/>
        <v>0.36363636363636365</v>
      </c>
      <c r="M85" s="3">
        <f t="shared" si="15"/>
        <v>0.36363636363636365</v>
      </c>
      <c r="N85" s="3">
        <f t="shared" si="19"/>
        <v>1</v>
      </c>
      <c r="O85">
        <f t="shared" si="20"/>
        <v>1.5642260721963643</v>
      </c>
      <c r="P85" s="4">
        <f>O85/MAX(O$14:O85)-1</f>
        <v>0</v>
      </c>
      <c r="Q85" s="4">
        <f t="shared" si="21"/>
        <v>1.5802716160317809E-2</v>
      </c>
    </row>
    <row r="86" spans="1:17" x14ac:dyDescent="0.3">
      <c r="A86" s="2">
        <v>42124</v>
      </c>
      <c r="B86" t="s">
        <v>88</v>
      </c>
      <c r="C86" t="s">
        <v>197</v>
      </c>
      <c r="D86" t="s">
        <v>333</v>
      </c>
      <c r="E86" s="4">
        <f t="shared" si="14"/>
        <v>3.7590068582342262E-2</v>
      </c>
      <c r="F86" s="4">
        <f t="shared" si="14"/>
        <v>-1.681106944264843E-2</v>
      </c>
      <c r="G86" s="4">
        <f t="shared" si="14"/>
        <v>-3.1036317417778569E-3</v>
      </c>
      <c r="H86" s="7">
        <f t="shared" si="16"/>
        <v>12</v>
      </c>
      <c r="I86" s="7">
        <f t="shared" si="17"/>
        <v>10</v>
      </c>
      <c r="J86" s="7">
        <f t="shared" si="18"/>
        <v>11</v>
      </c>
      <c r="K86" s="3">
        <f t="shared" si="12"/>
        <v>0.36363636363636365</v>
      </c>
      <c r="L86" s="3">
        <f t="shared" si="13"/>
        <v>0.30303030303030304</v>
      </c>
      <c r="M86" s="3">
        <f t="shared" si="15"/>
        <v>0.33333333333333331</v>
      </c>
      <c r="N86" s="3">
        <f t="shared" si="19"/>
        <v>1</v>
      </c>
      <c r="O86">
        <f t="shared" si="20"/>
        <v>1.5689345919005215</v>
      </c>
      <c r="P86" s="4">
        <f>O86/MAX(O$14:O86)-1</f>
        <v>0</v>
      </c>
      <c r="Q86" s="4">
        <f t="shared" si="21"/>
        <v>3.0101273644838056E-3</v>
      </c>
    </row>
    <row r="87" spans="1:17" x14ac:dyDescent="0.3">
      <c r="A87" s="2">
        <v>42153</v>
      </c>
      <c r="B87" t="s">
        <v>89</v>
      </c>
      <c r="C87" t="s">
        <v>198</v>
      </c>
      <c r="D87" t="s">
        <v>334</v>
      </c>
      <c r="E87" s="4">
        <f t="shared" si="14"/>
        <v>-2.3134203480589033E-2</v>
      </c>
      <c r="F87" s="4">
        <f t="shared" si="14"/>
        <v>6.839405497829798E-3</v>
      </c>
      <c r="G87" s="4">
        <f t="shared" si="14"/>
        <v>4.1609424880657553E-3</v>
      </c>
      <c r="H87" s="7">
        <f t="shared" si="16"/>
        <v>9</v>
      </c>
      <c r="I87" s="7">
        <f t="shared" si="17"/>
        <v>11</v>
      </c>
      <c r="J87" s="7">
        <f t="shared" si="18"/>
        <v>12</v>
      </c>
      <c r="K87" s="3">
        <f t="shared" si="12"/>
        <v>0.28125</v>
      </c>
      <c r="L87" s="3">
        <f t="shared" si="13"/>
        <v>0.34375</v>
      </c>
      <c r="M87" s="3">
        <f t="shared" si="15"/>
        <v>0.375</v>
      </c>
      <c r="N87" s="3">
        <f t="shared" si="19"/>
        <v>1</v>
      </c>
      <c r="O87">
        <f t="shared" si="20"/>
        <v>1.5611638005739592</v>
      </c>
      <c r="P87" s="4">
        <f>O87/MAX(O$14:O87)-1</f>
        <v>-4.9529096793954341E-3</v>
      </c>
      <c r="Q87" s="4">
        <f t="shared" si="21"/>
        <v>-4.9529096793954341E-3</v>
      </c>
    </row>
    <row r="88" spans="1:17" x14ac:dyDescent="0.3">
      <c r="A88" s="2">
        <v>42185</v>
      </c>
      <c r="B88" t="s">
        <v>90</v>
      </c>
      <c r="C88" t="s">
        <v>199</v>
      </c>
      <c r="D88" t="s">
        <v>335</v>
      </c>
      <c r="E88" s="4">
        <f t="shared" si="14"/>
        <v>-3.15189927626226E-2</v>
      </c>
      <c r="F88" s="4">
        <f t="shared" si="14"/>
        <v>-6.5223476719231677E-3</v>
      </c>
      <c r="G88" s="4">
        <f t="shared" si="14"/>
        <v>-2.9527559055164687E-5</v>
      </c>
      <c r="H88" s="7">
        <f t="shared" si="16"/>
        <v>5</v>
      </c>
      <c r="I88" s="7">
        <f t="shared" si="17"/>
        <v>9</v>
      </c>
      <c r="J88" s="7">
        <f t="shared" si="18"/>
        <v>11</v>
      </c>
      <c r="K88" s="3">
        <f t="shared" si="12"/>
        <v>0.2</v>
      </c>
      <c r="L88" s="3">
        <f t="shared" si="13"/>
        <v>0.36</v>
      </c>
      <c r="M88" s="3">
        <f t="shared" si="15"/>
        <v>0.44</v>
      </c>
      <c r="N88" s="3">
        <f t="shared" si="19"/>
        <v>1</v>
      </c>
      <c r="O88">
        <f t="shared" si="20"/>
        <v>1.5438070209820332</v>
      </c>
      <c r="P88" s="4">
        <f>O88/MAX(O$14:O88)-1</f>
        <v>-1.601569055090446E-2</v>
      </c>
      <c r="Q88" s="4">
        <f t="shared" si="21"/>
        <v>-1.1117846561356948E-2</v>
      </c>
    </row>
    <row r="89" spans="1:17" x14ac:dyDescent="0.3">
      <c r="A89" s="2">
        <v>42216</v>
      </c>
      <c r="B89" t="s">
        <v>91</v>
      </c>
      <c r="C89" t="s">
        <v>200</v>
      </c>
      <c r="D89" t="s">
        <v>336</v>
      </c>
      <c r="E89" s="4">
        <f t="shared" si="14"/>
        <v>-3.5153659075834676E-2</v>
      </c>
      <c r="F89" s="4">
        <f t="shared" si="14"/>
        <v>5.5226305754618732E-3</v>
      </c>
      <c r="G89" s="4">
        <f t="shared" si="14"/>
        <v>2.6772444068230428E-3</v>
      </c>
      <c r="H89" s="7">
        <f t="shared" si="16"/>
        <v>0</v>
      </c>
      <c r="I89" s="7">
        <f t="shared" si="17"/>
        <v>10</v>
      </c>
      <c r="J89" s="7">
        <f t="shared" si="18"/>
        <v>12</v>
      </c>
      <c r="K89" s="3">
        <f t="shared" si="12"/>
        <v>0</v>
      </c>
      <c r="L89" s="3">
        <f t="shared" si="13"/>
        <v>0.45454545454545453</v>
      </c>
      <c r="M89" s="3">
        <f t="shared" si="15"/>
        <v>0.54545454545454541</v>
      </c>
      <c r="N89" s="3">
        <f t="shared" si="19"/>
        <v>1</v>
      </c>
      <c r="O89">
        <f t="shared" si="20"/>
        <v>1.5378408285848852</v>
      </c>
      <c r="P89" s="4">
        <f>O89/MAX(O$14:O89)-1</f>
        <v>-1.9818393625938846E-2</v>
      </c>
      <c r="Q89" s="4">
        <f t="shared" si="21"/>
        <v>-3.8645972689985708E-3</v>
      </c>
    </row>
    <row r="90" spans="1:17" x14ac:dyDescent="0.3">
      <c r="A90" s="2">
        <v>42247</v>
      </c>
      <c r="B90" t="s">
        <v>92</v>
      </c>
      <c r="C90" t="s">
        <v>201</v>
      </c>
      <c r="D90" t="s">
        <v>337</v>
      </c>
      <c r="E90" s="4">
        <f t="shared" si="14"/>
        <v>-4.8350137488542666E-2</v>
      </c>
      <c r="F90" s="4">
        <f t="shared" si="14"/>
        <v>1.2348331293959403E-2</v>
      </c>
      <c r="G90" s="4">
        <f t="shared" si="14"/>
        <v>2.8369769017071444E-3</v>
      </c>
      <c r="H90" s="7">
        <f t="shared" si="16"/>
        <v>0</v>
      </c>
      <c r="I90" s="7">
        <f t="shared" si="17"/>
        <v>12</v>
      </c>
      <c r="J90" s="7">
        <f t="shared" si="18"/>
        <v>12</v>
      </c>
      <c r="K90" s="3">
        <f t="shared" si="12"/>
        <v>0</v>
      </c>
      <c r="L90" s="3">
        <f t="shared" si="13"/>
        <v>0.5</v>
      </c>
      <c r="M90" s="3">
        <f t="shared" si="15"/>
        <v>0.5</v>
      </c>
      <c r="N90" s="3">
        <f t="shared" si="19"/>
        <v>1</v>
      </c>
      <c r="O90">
        <f t="shared" si="20"/>
        <v>1.5488522607302397</v>
      </c>
      <c r="P90" s="4">
        <f>O90/MAX(O$14:O90)-1</f>
        <v>-1.2799979855090848E-2</v>
      </c>
      <c r="Q90" s="4">
        <f t="shared" si="21"/>
        <v>7.1603198072762719E-3</v>
      </c>
    </row>
    <row r="91" spans="1:17" x14ac:dyDescent="0.3">
      <c r="A91" s="2">
        <v>42277</v>
      </c>
      <c r="B91" t="s">
        <v>93</v>
      </c>
      <c r="C91" t="s">
        <v>202</v>
      </c>
      <c r="D91" t="s">
        <v>338</v>
      </c>
      <c r="E91" s="4">
        <f t="shared" si="14"/>
        <v>2.2248976643390428E-2</v>
      </c>
      <c r="F91" s="4">
        <f t="shared" si="14"/>
        <v>1.9542170675671988E-2</v>
      </c>
      <c r="G91" s="4">
        <f t="shared" si="14"/>
        <v>6.5584682550559048E-3</v>
      </c>
      <c r="H91" s="7">
        <f t="shared" si="16"/>
        <v>1</v>
      </c>
      <c r="I91" s="7">
        <f t="shared" si="17"/>
        <v>12</v>
      </c>
      <c r="J91" s="7">
        <f t="shared" si="18"/>
        <v>12</v>
      </c>
      <c r="K91" s="3">
        <f t="shared" si="12"/>
        <v>0.04</v>
      </c>
      <c r="L91" s="3">
        <f t="shared" si="13"/>
        <v>0.48</v>
      </c>
      <c r="M91" s="3">
        <f t="shared" si="15"/>
        <v>0.48</v>
      </c>
      <c r="N91" s="3">
        <f t="shared" si="19"/>
        <v>1</v>
      </c>
      <c r="O91">
        <f t="shared" si="20"/>
        <v>1.5690652775374205</v>
      </c>
      <c r="P91" s="4">
        <f>O91/MAX(O$14:O91)-1</f>
        <v>0</v>
      </c>
      <c r="Q91" s="4">
        <f t="shared" si="21"/>
        <v>1.3050319465363946E-2</v>
      </c>
    </row>
    <row r="92" spans="1:17" x14ac:dyDescent="0.3">
      <c r="A92" s="2">
        <v>42307</v>
      </c>
      <c r="B92" t="s">
        <v>94</v>
      </c>
      <c r="C92" t="s">
        <v>203</v>
      </c>
      <c r="D92" t="s">
        <v>339</v>
      </c>
      <c r="E92" s="4">
        <f t="shared" si="14"/>
        <v>5.7379752202383782E-2</v>
      </c>
      <c r="F92" s="4">
        <f t="shared" si="14"/>
        <v>-2.4615607381062166E-3</v>
      </c>
      <c r="G92" s="4">
        <f t="shared" si="14"/>
        <v>-1.0308476290504798E-3</v>
      </c>
      <c r="H92" s="7">
        <f t="shared" si="16"/>
        <v>6</v>
      </c>
      <c r="I92" s="7">
        <f t="shared" si="17"/>
        <v>11</v>
      </c>
      <c r="J92" s="7">
        <f t="shared" si="18"/>
        <v>11</v>
      </c>
      <c r="K92" s="3">
        <f t="shared" si="12"/>
        <v>0.21428571428571427</v>
      </c>
      <c r="L92" s="3">
        <f t="shared" si="13"/>
        <v>0.39285714285714285</v>
      </c>
      <c r="M92" s="3">
        <f t="shared" si="15"/>
        <v>0.39285714285714285</v>
      </c>
      <c r="N92" s="3">
        <f t="shared" si="19"/>
        <v>1</v>
      </c>
      <c r="O92">
        <f t="shared" si="20"/>
        <v>1.5700362685921332</v>
      </c>
      <c r="P92" s="4">
        <f>O92/MAX(O$14:O92)-1</f>
        <v>0</v>
      </c>
      <c r="Q92" s="4">
        <f t="shared" si="21"/>
        <v>6.1883407186003048E-4</v>
      </c>
    </row>
    <row r="93" spans="1:17" x14ac:dyDescent="0.3">
      <c r="A93" s="2">
        <v>42338</v>
      </c>
      <c r="B93" t="s">
        <v>95</v>
      </c>
      <c r="C93" t="s">
        <v>204</v>
      </c>
      <c r="D93" t="s">
        <v>340</v>
      </c>
      <c r="E93" s="4">
        <f t="shared" si="14"/>
        <v>-2.0138115393183331E-2</v>
      </c>
      <c r="F93" s="4">
        <f t="shared" si="14"/>
        <v>-9.5620855144383787E-3</v>
      </c>
      <c r="G93" s="4">
        <f t="shared" si="14"/>
        <v>-2.8815638324799497E-3</v>
      </c>
      <c r="H93" s="7">
        <f t="shared" si="16"/>
        <v>4</v>
      </c>
      <c r="I93" s="7">
        <f t="shared" si="17"/>
        <v>10</v>
      </c>
      <c r="J93" s="7">
        <f t="shared" si="18"/>
        <v>10</v>
      </c>
      <c r="K93" s="3">
        <f t="shared" si="12"/>
        <v>0.16666666666666666</v>
      </c>
      <c r="L93" s="3">
        <f t="shared" si="13"/>
        <v>0.41666666666666669</v>
      </c>
      <c r="M93" s="3">
        <f t="shared" si="15"/>
        <v>0.41666666666666669</v>
      </c>
      <c r="N93" s="3">
        <f t="shared" si="19"/>
        <v>1</v>
      </c>
      <c r="O93">
        <f t="shared" si="20"/>
        <v>1.5555858322363583</v>
      </c>
      <c r="P93" s="4">
        <f>O93/MAX(O$14:O93)-1</f>
        <v>-9.2038869705428628E-3</v>
      </c>
      <c r="Q93" s="4">
        <f t="shared" si="21"/>
        <v>-9.2038869705428628E-3</v>
      </c>
    </row>
    <row r="94" spans="1:17" x14ac:dyDescent="0.3">
      <c r="A94" s="2">
        <v>42368</v>
      </c>
      <c r="B94" t="s">
        <v>96</v>
      </c>
      <c r="C94" t="s">
        <v>205</v>
      </c>
      <c r="D94" t="s">
        <v>341</v>
      </c>
      <c r="E94" s="4">
        <f t="shared" si="14"/>
        <v>-2.6826717591961202E-3</v>
      </c>
      <c r="F94" s="4">
        <f t="shared" si="14"/>
        <v>1.4838833777582439E-2</v>
      </c>
      <c r="G94" s="4">
        <f t="shared" si="14"/>
        <v>5.3990197801339068E-3</v>
      </c>
      <c r="H94" s="7">
        <f t="shared" si="16"/>
        <v>4</v>
      </c>
      <c r="I94" s="7">
        <f t="shared" si="17"/>
        <v>12</v>
      </c>
      <c r="J94" s="7">
        <f t="shared" si="18"/>
        <v>12</v>
      </c>
      <c r="K94" s="3">
        <f t="shared" si="12"/>
        <v>0.14285714285714285</v>
      </c>
      <c r="L94" s="3">
        <f t="shared" si="13"/>
        <v>0.42857142857142855</v>
      </c>
      <c r="M94" s="3">
        <f t="shared" si="15"/>
        <v>0.42857142857142855</v>
      </c>
      <c r="N94" s="3">
        <f t="shared" si="19"/>
        <v>1</v>
      </c>
      <c r="O94">
        <f t="shared" si="20"/>
        <v>1.568007693818358</v>
      </c>
      <c r="P94" s="4">
        <f>O94/MAX(O$14:O94)-1</f>
        <v>-1.2920559953650823E-3</v>
      </c>
      <c r="Q94" s="4">
        <f t="shared" si="21"/>
        <v>7.9853270225158646E-3</v>
      </c>
    </row>
    <row r="95" spans="1:17" x14ac:dyDescent="0.3">
      <c r="A95" s="2">
        <v>42398</v>
      </c>
      <c r="B95" t="s">
        <v>97</v>
      </c>
      <c r="C95" t="s">
        <v>206</v>
      </c>
      <c r="D95" t="s">
        <v>342</v>
      </c>
      <c r="E95" s="4">
        <f t="shared" si="14"/>
        <v>-3.5834777058448064E-2</v>
      </c>
      <c r="F95" s="4">
        <f t="shared" si="14"/>
        <v>8.6106522975277766E-3</v>
      </c>
      <c r="G95" s="4">
        <f t="shared" si="14"/>
        <v>3.7677584750288595E-3</v>
      </c>
      <c r="H95" s="7">
        <f t="shared" si="16"/>
        <v>1</v>
      </c>
      <c r="I95" s="7">
        <f t="shared" si="17"/>
        <v>12</v>
      </c>
      <c r="J95" s="7">
        <f t="shared" si="18"/>
        <v>12</v>
      </c>
      <c r="K95" s="3">
        <f t="shared" si="12"/>
        <v>0.04</v>
      </c>
      <c r="L95" s="3">
        <f t="shared" si="13"/>
        <v>0.48</v>
      </c>
      <c r="M95" s="3">
        <f t="shared" si="15"/>
        <v>0.48</v>
      </c>
      <c r="N95" s="3">
        <f t="shared" si="19"/>
        <v>1</v>
      </c>
      <c r="O95">
        <f t="shared" si="20"/>
        <v>1.5682989972257761</v>
      </c>
      <c r="P95" s="4">
        <f>O95/MAX(O$14:O95)-1</f>
        <v>-1.1065167099069129E-3</v>
      </c>
      <c r="Q95" s="4">
        <f t="shared" si="21"/>
        <v>1.8577932274599362E-4</v>
      </c>
    </row>
    <row r="96" spans="1:17" x14ac:dyDescent="0.3">
      <c r="A96" s="2">
        <v>42429</v>
      </c>
      <c r="B96" t="s">
        <v>98</v>
      </c>
      <c r="C96" t="s">
        <v>207</v>
      </c>
      <c r="D96" t="s">
        <v>343</v>
      </c>
      <c r="E96" s="4">
        <f t="shared" si="14"/>
        <v>1.6029884622659418E-2</v>
      </c>
      <c r="F96" s="4">
        <f t="shared" si="14"/>
        <v>1.860452629600795E-2</v>
      </c>
      <c r="G96" s="4">
        <f t="shared" si="14"/>
        <v>5.146710265365062E-3</v>
      </c>
      <c r="H96" s="7">
        <f t="shared" si="16"/>
        <v>3</v>
      </c>
      <c r="I96" s="7">
        <f t="shared" si="17"/>
        <v>12</v>
      </c>
      <c r="J96" s="7">
        <f t="shared" si="18"/>
        <v>12</v>
      </c>
      <c r="K96" s="3">
        <f t="shared" si="12"/>
        <v>0.1111111111111111</v>
      </c>
      <c r="L96" s="3">
        <f t="shared" si="13"/>
        <v>0.44444444444444442</v>
      </c>
      <c r="M96" s="3">
        <f t="shared" si="15"/>
        <v>0.44444444444444442</v>
      </c>
      <c r="N96" s="3">
        <f t="shared" si="19"/>
        <v>1</v>
      </c>
      <c r="O96">
        <f t="shared" si="20"/>
        <v>1.5871841227363457</v>
      </c>
      <c r="P96" s="4">
        <f>O96/MAX(O$14:O96)-1</f>
        <v>0</v>
      </c>
      <c r="Q96" s="4">
        <f t="shared" si="21"/>
        <v>1.2041788934365361E-2</v>
      </c>
    </row>
    <row r="97" spans="1:17" x14ac:dyDescent="0.3">
      <c r="A97" s="2">
        <v>42460</v>
      </c>
      <c r="B97" t="s">
        <v>99</v>
      </c>
      <c r="C97" t="s">
        <v>208</v>
      </c>
      <c r="D97" t="s">
        <v>344</v>
      </c>
      <c r="E97" s="4">
        <f t="shared" si="14"/>
        <v>4.3142365151021655E-2</v>
      </c>
      <c r="F97" s="4">
        <f t="shared" si="14"/>
        <v>7.1161246112483312E-4</v>
      </c>
      <c r="G97" s="4">
        <f t="shared" si="14"/>
        <v>1.3474624394844703E-3</v>
      </c>
      <c r="H97" s="7">
        <f t="shared" si="16"/>
        <v>7</v>
      </c>
      <c r="I97" s="7">
        <f t="shared" si="17"/>
        <v>12</v>
      </c>
      <c r="J97" s="7">
        <f t="shared" si="18"/>
        <v>12</v>
      </c>
      <c r="K97" s="3">
        <f t="shared" si="12"/>
        <v>0.22580645161290322</v>
      </c>
      <c r="L97" s="3">
        <f t="shared" si="13"/>
        <v>0.38709677419354838</v>
      </c>
      <c r="M97" s="3">
        <f t="shared" si="15"/>
        <v>0.38709677419354838</v>
      </c>
      <c r="N97" s="3">
        <f t="shared" si="19"/>
        <v>1</v>
      </c>
      <c r="O97">
        <f t="shared" si="20"/>
        <v>1.5962449450634661</v>
      </c>
      <c r="P97" s="4">
        <f>O97/MAX(O$14:O97)-1</f>
        <v>0</v>
      </c>
      <c r="Q97" s="4">
        <f t="shared" si="21"/>
        <v>5.7087405281621706E-3</v>
      </c>
    </row>
    <row r="98" spans="1:17" x14ac:dyDescent="0.3">
      <c r="A98" s="2">
        <v>42489</v>
      </c>
      <c r="B98" t="s">
        <v>100</v>
      </c>
      <c r="C98" t="s">
        <v>209</v>
      </c>
      <c r="D98" t="s">
        <v>345</v>
      </c>
      <c r="E98" s="4">
        <f t="shared" si="14"/>
        <v>-1.5169090746854907E-3</v>
      </c>
      <c r="F98" s="4">
        <f t="shared" si="14"/>
        <v>1.2817473904149779E-3</v>
      </c>
      <c r="G98" s="4">
        <f t="shared" si="14"/>
        <v>8.3622487720957928E-4</v>
      </c>
      <c r="H98" s="7">
        <f t="shared" si="16"/>
        <v>7</v>
      </c>
      <c r="I98" s="7">
        <f t="shared" si="17"/>
        <v>12</v>
      </c>
      <c r="J98" s="7">
        <f t="shared" si="18"/>
        <v>12</v>
      </c>
      <c r="K98" s="3">
        <f t="shared" si="12"/>
        <v>0.22580645161290322</v>
      </c>
      <c r="L98" s="3">
        <f t="shared" si="13"/>
        <v>0.38709677419354838</v>
      </c>
      <c r="M98" s="3">
        <f t="shared" si="15"/>
        <v>0.38709677419354838</v>
      </c>
      <c r="N98" s="3">
        <f t="shared" si="19"/>
        <v>1</v>
      </c>
      <c r="O98">
        <f t="shared" si="20"/>
        <v>1.597006884457455</v>
      </c>
      <c r="P98" s="4">
        <f>O98/MAX(O$14:O98)-1</f>
        <v>0</v>
      </c>
      <c r="Q98" s="4">
        <f t="shared" si="21"/>
        <v>4.7733237705482878E-4</v>
      </c>
    </row>
    <row r="99" spans="1:17" x14ac:dyDescent="0.3">
      <c r="A99" s="2">
        <v>42521</v>
      </c>
      <c r="B99" t="s">
        <v>101</v>
      </c>
      <c r="C99" t="s">
        <v>210</v>
      </c>
      <c r="D99" t="s">
        <v>345</v>
      </c>
      <c r="E99" s="4">
        <f t="shared" si="14"/>
        <v>-6.5683646112600913E-3</v>
      </c>
      <c r="F99" s="4">
        <f t="shared" si="14"/>
        <v>9.1185676834459883E-4</v>
      </c>
      <c r="G99" s="4">
        <f t="shared" si="14"/>
        <v>0</v>
      </c>
      <c r="H99" s="7">
        <f t="shared" si="16"/>
        <v>7</v>
      </c>
      <c r="I99" s="7">
        <f t="shared" si="17"/>
        <v>12</v>
      </c>
      <c r="J99" s="7">
        <f t="shared" si="18"/>
        <v>12</v>
      </c>
      <c r="K99" s="3">
        <f t="shared" si="12"/>
        <v>0.22580645161290322</v>
      </c>
      <c r="L99" s="3">
        <f t="shared" si="13"/>
        <v>0.38709677419354838</v>
      </c>
      <c r="M99" s="3">
        <f t="shared" si="15"/>
        <v>0.38709677419354838</v>
      </c>
      <c r="N99" s="3">
        <f t="shared" si="19"/>
        <v>1</v>
      </c>
      <c r="O99">
        <f t="shared" si="20"/>
        <v>1.595201943615957</v>
      </c>
      <c r="P99" s="4">
        <f>O99/MAX(O$14:O99)-1</f>
        <v>-1.1302022922156096E-3</v>
      </c>
      <c r="Q99" s="4">
        <f t="shared" si="21"/>
        <v>-1.1302022922156096E-3</v>
      </c>
    </row>
    <row r="100" spans="1:17" x14ac:dyDescent="0.3">
      <c r="A100" s="2">
        <v>42551</v>
      </c>
      <c r="B100" t="s">
        <v>102</v>
      </c>
      <c r="C100" t="s">
        <v>211</v>
      </c>
      <c r="D100" t="s">
        <v>346</v>
      </c>
      <c r="E100" s="4">
        <f t="shared" si="14"/>
        <v>3.1934511761795292E-3</v>
      </c>
      <c r="F100" s="4">
        <f t="shared" si="14"/>
        <v>3.0011300226880477E-2</v>
      </c>
      <c r="G100" s="4">
        <f t="shared" si="14"/>
        <v>8.432091888673332E-3</v>
      </c>
      <c r="H100" s="7">
        <f t="shared" si="16"/>
        <v>8</v>
      </c>
      <c r="I100" s="7">
        <f t="shared" si="17"/>
        <v>12</v>
      </c>
      <c r="J100" s="7">
        <f t="shared" si="18"/>
        <v>12</v>
      </c>
      <c r="K100" s="3">
        <f t="shared" si="12"/>
        <v>0.25</v>
      </c>
      <c r="L100" s="3">
        <f t="shared" si="13"/>
        <v>0.375</v>
      </c>
      <c r="M100" s="3">
        <f t="shared" si="15"/>
        <v>0.375</v>
      </c>
      <c r="N100" s="3">
        <f t="shared" si="19"/>
        <v>1</v>
      </c>
      <c r="O100">
        <f t="shared" si="20"/>
        <v>1.6200909462780426</v>
      </c>
      <c r="P100" s="4">
        <f>O100/MAX(O$14:O100)-1</f>
        <v>0</v>
      </c>
      <c r="Q100" s="4">
        <f t="shared" si="21"/>
        <v>1.5602414955480759E-2</v>
      </c>
    </row>
    <row r="101" spans="1:17" x14ac:dyDescent="0.3">
      <c r="A101" s="2">
        <v>42580</v>
      </c>
      <c r="B101" t="s">
        <v>103</v>
      </c>
      <c r="C101" t="s">
        <v>212</v>
      </c>
      <c r="D101" t="s">
        <v>347</v>
      </c>
      <c r="E101" s="4">
        <f t="shared" si="14"/>
        <v>3.2012195121951192E-2</v>
      </c>
      <c r="F101" s="4">
        <f t="shared" si="14"/>
        <v>8.0368760790250349E-3</v>
      </c>
      <c r="G101" s="4">
        <f t="shared" si="14"/>
        <v>2.228486533846219E-3</v>
      </c>
      <c r="H101" s="7">
        <f t="shared" si="16"/>
        <v>12</v>
      </c>
      <c r="I101" s="7">
        <f t="shared" si="17"/>
        <v>12</v>
      </c>
      <c r="J101" s="7">
        <f t="shared" si="18"/>
        <v>12</v>
      </c>
      <c r="K101" s="3">
        <f t="shared" si="12"/>
        <v>0.33333333333333331</v>
      </c>
      <c r="L101" s="3">
        <f t="shared" si="13"/>
        <v>0.33333333333333331</v>
      </c>
      <c r="M101" s="3">
        <f t="shared" si="15"/>
        <v>0.33333333333333331</v>
      </c>
      <c r="N101" s="3">
        <f t="shared" si="19"/>
        <v>1</v>
      </c>
      <c r="O101">
        <f t="shared" si="20"/>
        <v>1.6392931710359475</v>
      </c>
      <c r="P101" s="4">
        <f>O101/MAX(O$14:O101)-1</f>
        <v>0</v>
      </c>
      <c r="Q101" s="4">
        <f t="shared" si="21"/>
        <v>1.1852559760314518E-2</v>
      </c>
    </row>
    <row r="102" spans="1:17" x14ac:dyDescent="0.3">
      <c r="A102" s="2">
        <v>42613</v>
      </c>
      <c r="B102" t="s">
        <v>104</v>
      </c>
      <c r="C102" t="s">
        <v>213</v>
      </c>
      <c r="D102" t="s">
        <v>348</v>
      </c>
      <c r="E102" s="4">
        <f t="shared" si="14"/>
        <v>1.9115474845772917E-2</v>
      </c>
      <c r="F102" s="4">
        <f t="shared" si="14"/>
        <v>-8.0149838012959496E-3</v>
      </c>
      <c r="G102" s="4">
        <f t="shared" si="14"/>
        <v>-1.6153860772725182E-3</v>
      </c>
      <c r="H102" s="7">
        <f t="shared" si="16"/>
        <v>12</v>
      </c>
      <c r="I102" s="7">
        <f t="shared" si="17"/>
        <v>10</v>
      </c>
      <c r="J102" s="7">
        <f t="shared" si="18"/>
        <v>11</v>
      </c>
      <c r="K102" s="3">
        <f t="shared" si="12"/>
        <v>0.36363636363636365</v>
      </c>
      <c r="L102" s="3">
        <f t="shared" si="13"/>
        <v>0.30303030303030304</v>
      </c>
      <c r="M102" s="3">
        <f t="shared" si="15"/>
        <v>0.33333333333333331</v>
      </c>
      <c r="N102" s="3">
        <f t="shared" si="19"/>
        <v>1</v>
      </c>
      <c r="O102">
        <f t="shared" si="20"/>
        <v>1.6444761269690467</v>
      </c>
      <c r="P102" s="4">
        <f>O102/MAX(O$14:O102)-1</f>
        <v>0</v>
      </c>
      <c r="Q102" s="4">
        <f t="shared" si="21"/>
        <v>3.1617016557348165E-3</v>
      </c>
    </row>
    <row r="103" spans="1:17" x14ac:dyDescent="0.3">
      <c r="A103" s="2">
        <v>42643</v>
      </c>
      <c r="B103" t="s">
        <v>105</v>
      </c>
      <c r="C103" t="s">
        <v>214</v>
      </c>
      <c r="D103" t="s">
        <v>349</v>
      </c>
      <c r="E103" s="4">
        <f t="shared" si="14"/>
        <v>3.154574132492094E-3</v>
      </c>
      <c r="F103" s="4">
        <f t="shared" si="14"/>
        <v>7.4418683767372151E-3</v>
      </c>
      <c r="G103" s="4">
        <f t="shared" si="14"/>
        <v>2.4269996573647035E-3</v>
      </c>
      <c r="H103" s="7">
        <f t="shared" si="16"/>
        <v>12</v>
      </c>
      <c r="I103" s="7">
        <f t="shared" si="17"/>
        <v>11</v>
      </c>
      <c r="J103" s="7">
        <f t="shared" si="18"/>
        <v>12</v>
      </c>
      <c r="K103" s="3">
        <f t="shared" si="12"/>
        <v>0.34285714285714286</v>
      </c>
      <c r="L103" s="3">
        <f t="shared" si="13"/>
        <v>0.31428571428571428</v>
      </c>
      <c r="M103" s="3">
        <f t="shared" si="15"/>
        <v>0.34285714285714286</v>
      </c>
      <c r="N103" s="3">
        <f t="shared" si="19"/>
        <v>1</v>
      </c>
      <c r="O103">
        <f t="shared" si="20"/>
        <v>1.6514013931520537</v>
      </c>
      <c r="P103" s="4">
        <f>O103/MAX(O$14:O103)-1</f>
        <v>0</v>
      </c>
      <c r="Q103" s="4">
        <f t="shared" si="21"/>
        <v>4.2112293814633439E-3</v>
      </c>
    </row>
    <row r="104" spans="1:17" x14ac:dyDescent="0.3">
      <c r="A104" s="2">
        <v>42674</v>
      </c>
      <c r="B104" t="s">
        <v>106</v>
      </c>
      <c r="C104" t="s">
        <v>215</v>
      </c>
      <c r="D104" t="s">
        <v>350</v>
      </c>
      <c r="E104" s="4">
        <f t="shared" si="14"/>
        <v>-5.6518782933877576E-3</v>
      </c>
      <c r="F104" s="4">
        <f t="shared" si="14"/>
        <v>-2.2422395380446214E-2</v>
      </c>
      <c r="G104" s="4">
        <f t="shared" si="14"/>
        <v>-5.1555690589899505E-3</v>
      </c>
      <c r="H104" s="7">
        <f t="shared" si="16"/>
        <v>10</v>
      </c>
      <c r="I104" s="7">
        <f t="shared" si="17"/>
        <v>8</v>
      </c>
      <c r="J104" s="7">
        <f t="shared" si="18"/>
        <v>8</v>
      </c>
      <c r="K104" s="3">
        <f t="shared" si="12"/>
        <v>0.38461538461538464</v>
      </c>
      <c r="L104" s="3">
        <f t="shared" si="13"/>
        <v>0.30769230769230771</v>
      </c>
      <c r="M104" s="3">
        <f t="shared" si="15"/>
        <v>0.30769230769230771</v>
      </c>
      <c r="N104" s="3">
        <f t="shared" si="19"/>
        <v>1</v>
      </c>
      <c r="O104">
        <f t="shared" si="20"/>
        <v>1.6336447837797841</v>
      </c>
      <c r="P104" s="4">
        <f>O104/MAX(O$14:O104)-1</f>
        <v>-1.0752449068955561E-2</v>
      </c>
      <c r="Q104" s="4">
        <f t="shared" si="21"/>
        <v>-1.0752449068955561E-2</v>
      </c>
    </row>
    <row r="105" spans="1:17" x14ac:dyDescent="0.3">
      <c r="A105" s="2">
        <v>42704</v>
      </c>
      <c r="B105" t="s">
        <v>107</v>
      </c>
      <c r="C105" t="s">
        <v>216</v>
      </c>
      <c r="D105" t="s">
        <v>351</v>
      </c>
      <c r="E105" s="4">
        <f t="shared" si="14"/>
        <v>-4.7865293388605901E-3</v>
      </c>
      <c r="F105" s="4">
        <f t="shared" si="14"/>
        <v>-3.4033696900610533E-2</v>
      </c>
      <c r="G105" s="4">
        <f t="shared" si="14"/>
        <v>-7.654132468028263E-3</v>
      </c>
      <c r="H105" s="7">
        <f t="shared" si="16"/>
        <v>9</v>
      </c>
      <c r="I105" s="7">
        <f t="shared" si="17"/>
        <v>3</v>
      </c>
      <c r="J105" s="7">
        <f t="shared" si="18"/>
        <v>4</v>
      </c>
      <c r="K105" s="3">
        <f t="shared" si="12"/>
        <v>0.5625</v>
      </c>
      <c r="L105" s="3">
        <f t="shared" si="13"/>
        <v>0.1875</v>
      </c>
      <c r="M105" s="3">
        <f t="shared" si="15"/>
        <v>0.25</v>
      </c>
      <c r="N105" s="3">
        <f t="shared" si="19"/>
        <v>1</v>
      </c>
      <c r="O105">
        <f t="shared" si="20"/>
        <v>1.609682486594022</v>
      </c>
      <c r="P105" s="4">
        <f>O105/MAX(O$14:O105)-1</f>
        <v>-2.5262729419406771E-2</v>
      </c>
      <c r="Q105" s="4">
        <f t="shared" si="21"/>
        <v>-1.4667997243758335E-2</v>
      </c>
    </row>
    <row r="106" spans="1:17" x14ac:dyDescent="0.3">
      <c r="A106" s="2">
        <v>42733</v>
      </c>
      <c r="B106" t="s">
        <v>108</v>
      </c>
      <c r="C106" t="s">
        <v>217</v>
      </c>
      <c r="D106" t="s">
        <v>352</v>
      </c>
      <c r="E106" s="4">
        <f t="shared" si="14"/>
        <v>3.6028685532700555E-2</v>
      </c>
      <c r="F106" s="4">
        <f t="shared" si="14"/>
        <v>7.0179516521242657E-3</v>
      </c>
      <c r="G106" s="4">
        <f t="shared" si="14"/>
        <v>4.2605166477525103E-3</v>
      </c>
      <c r="H106" s="7">
        <f t="shared" si="16"/>
        <v>12</v>
      </c>
      <c r="I106" s="7">
        <f t="shared" si="17"/>
        <v>3</v>
      </c>
      <c r="J106" s="7">
        <f t="shared" si="18"/>
        <v>7</v>
      </c>
      <c r="K106" s="3">
        <f t="shared" si="12"/>
        <v>0.54545454545454541</v>
      </c>
      <c r="L106" s="3">
        <f t="shared" si="13"/>
        <v>0.13636363636363635</v>
      </c>
      <c r="M106" s="3">
        <f t="shared" si="15"/>
        <v>0.31818181818181818</v>
      </c>
      <c r="N106" s="3">
        <f t="shared" si="19"/>
        <v>1</v>
      </c>
      <c r="O106">
        <f t="shared" si="20"/>
        <v>1.6461371762676722</v>
      </c>
      <c r="P106" s="4">
        <f>O106/MAX(O$14:O106)-1</f>
        <v>-3.1877270457750795E-3</v>
      </c>
      <c r="Q106" s="4">
        <f t="shared" si="21"/>
        <v>2.2647130708855379E-2</v>
      </c>
    </row>
    <row r="107" spans="1:17" x14ac:dyDescent="0.3">
      <c r="A107" s="2">
        <v>42766</v>
      </c>
      <c r="B107" t="s">
        <v>109</v>
      </c>
      <c r="C107" t="s">
        <v>218</v>
      </c>
      <c r="D107" t="s">
        <v>353</v>
      </c>
      <c r="E107" s="4">
        <f t="shared" si="14"/>
        <v>3.4402719058277409E-2</v>
      </c>
      <c r="F107" s="4">
        <f t="shared" si="14"/>
        <v>-6.6316882840173896E-3</v>
      </c>
      <c r="G107" s="4">
        <f t="shared" si="14"/>
        <v>-1.2449603049191627E-4</v>
      </c>
      <c r="H107" s="7">
        <f t="shared" si="16"/>
        <v>12</v>
      </c>
      <c r="I107" s="7">
        <f t="shared" si="17"/>
        <v>2</v>
      </c>
      <c r="J107" s="7">
        <f t="shared" si="18"/>
        <v>6</v>
      </c>
      <c r="K107" s="3">
        <f t="shared" si="12"/>
        <v>0.6</v>
      </c>
      <c r="L107" s="3">
        <f t="shared" si="13"/>
        <v>0.1</v>
      </c>
      <c r="M107" s="3">
        <f t="shared" si="15"/>
        <v>0.3</v>
      </c>
      <c r="N107" s="3">
        <f t="shared" si="19"/>
        <v>1</v>
      </c>
      <c r="O107">
        <f t="shared" si="20"/>
        <v>1.6754732930400551</v>
      </c>
      <c r="P107" s="4">
        <f>O107/MAX(O$14:O107)-1</f>
        <v>0</v>
      </c>
      <c r="Q107" s="4">
        <f t="shared" si="21"/>
        <v>1.7821185983356136E-2</v>
      </c>
    </row>
    <row r="108" spans="1:17" x14ac:dyDescent="0.3">
      <c r="A108" s="2">
        <v>42794</v>
      </c>
      <c r="B108" t="s">
        <v>110</v>
      </c>
      <c r="C108" t="s">
        <v>219</v>
      </c>
      <c r="D108" t="s">
        <v>354</v>
      </c>
      <c r="E108" s="4">
        <f t="shared" si="14"/>
        <v>5.329379708286508E-3</v>
      </c>
      <c r="F108" s="4">
        <f t="shared" si="14"/>
        <v>1.8857132643395058E-3</v>
      </c>
      <c r="G108" s="4">
        <f t="shared" si="14"/>
        <v>1.7048502030496682E-3</v>
      </c>
      <c r="H108" s="7">
        <f t="shared" si="16"/>
        <v>12</v>
      </c>
      <c r="I108" s="7">
        <f t="shared" si="17"/>
        <v>2</v>
      </c>
      <c r="J108" s="7">
        <f t="shared" si="18"/>
        <v>7</v>
      </c>
      <c r="K108" s="3">
        <f t="shared" si="12"/>
        <v>0.5714285714285714</v>
      </c>
      <c r="L108" s="3">
        <f t="shared" si="13"/>
        <v>9.5238095238095233E-2</v>
      </c>
      <c r="M108" s="3">
        <f t="shared" si="15"/>
        <v>0.33333333333333331</v>
      </c>
      <c r="N108" s="3">
        <f t="shared" si="19"/>
        <v>1</v>
      </c>
      <c r="O108">
        <f t="shared" si="20"/>
        <v>1.6820037085783037</v>
      </c>
      <c r="P108" s="4">
        <f>O108/MAX(O$14:O108)-1</f>
        <v>0</v>
      </c>
      <c r="Q108" s="4">
        <f t="shared" si="21"/>
        <v>3.8976542123208002E-3</v>
      </c>
    </row>
    <row r="109" spans="1:17" x14ac:dyDescent="0.3">
      <c r="A109" s="2">
        <v>42825</v>
      </c>
      <c r="B109" t="s">
        <v>111</v>
      </c>
      <c r="C109" t="s">
        <v>220</v>
      </c>
      <c r="D109" t="s">
        <v>355</v>
      </c>
      <c r="E109" s="4">
        <f t="shared" si="14"/>
        <v>4.2209733349276579E-2</v>
      </c>
      <c r="F109" s="4">
        <f t="shared" si="14"/>
        <v>5.173721065072634E-4</v>
      </c>
      <c r="G109" s="4">
        <f t="shared" si="14"/>
        <v>2.361692769586643E-3</v>
      </c>
      <c r="H109" s="7">
        <f t="shared" si="16"/>
        <v>12</v>
      </c>
      <c r="I109" s="7">
        <f t="shared" si="17"/>
        <v>3</v>
      </c>
      <c r="J109" s="7">
        <f t="shared" si="18"/>
        <v>8</v>
      </c>
      <c r="K109" s="3">
        <f t="shared" si="12"/>
        <v>0.52173913043478259</v>
      </c>
      <c r="L109" s="3">
        <f t="shared" si="13"/>
        <v>0.13043478260869565</v>
      </c>
      <c r="M109" s="3">
        <f t="shared" si="15"/>
        <v>0.34782608695652173</v>
      </c>
      <c r="N109" s="3">
        <f t="shared" si="19"/>
        <v>1</v>
      </c>
      <c r="O109">
        <f t="shared" si="20"/>
        <v>1.7239803853383755</v>
      </c>
      <c r="P109" s="4">
        <f>O109/MAX(O$14:O109)-1</f>
        <v>0</v>
      </c>
      <c r="Q109" s="4">
        <f t="shared" si="21"/>
        <v>2.4956352085306666E-2</v>
      </c>
    </row>
    <row r="110" spans="1:17" x14ac:dyDescent="0.3">
      <c r="A110" s="2">
        <v>42853</v>
      </c>
      <c r="B110" t="s">
        <v>112</v>
      </c>
      <c r="C110" t="s">
        <v>221</v>
      </c>
      <c r="D110" t="s">
        <v>356</v>
      </c>
      <c r="E110" s="4">
        <f t="shared" si="14"/>
        <v>2.2831574116567221E-2</v>
      </c>
      <c r="F110" s="4">
        <f t="shared" si="14"/>
        <v>1.159027486783426E-4</v>
      </c>
      <c r="G110" s="4">
        <f t="shared" si="14"/>
        <v>6.3911173008501798E-4</v>
      </c>
      <c r="H110" s="7">
        <f t="shared" si="16"/>
        <v>12</v>
      </c>
      <c r="I110" s="7">
        <f t="shared" si="17"/>
        <v>4</v>
      </c>
      <c r="J110" s="7">
        <f t="shared" si="18"/>
        <v>8</v>
      </c>
      <c r="K110" s="3">
        <f t="shared" si="12"/>
        <v>0.5</v>
      </c>
      <c r="L110" s="3">
        <f t="shared" si="13"/>
        <v>0.16666666666666666</v>
      </c>
      <c r="M110" s="3">
        <f t="shared" si="15"/>
        <v>0.33333333333333331</v>
      </c>
      <c r="N110" s="3">
        <f t="shared" si="19"/>
        <v>1</v>
      </c>
      <c r="O110">
        <f t="shared" si="20"/>
        <v>1.7449259593475048</v>
      </c>
      <c r="P110" s="4">
        <f>O110/MAX(O$14:O110)-1</f>
        <v>0</v>
      </c>
      <c r="Q110" s="4">
        <f t="shared" si="21"/>
        <v>1.2149543108066263E-2</v>
      </c>
    </row>
    <row r="111" spans="1:17" x14ac:dyDescent="0.3">
      <c r="A111" s="2">
        <v>42886</v>
      </c>
      <c r="B111" t="s">
        <v>113</v>
      </c>
      <c r="C111" t="s">
        <v>222</v>
      </c>
      <c r="D111" t="s">
        <v>357</v>
      </c>
      <c r="E111" s="4">
        <f t="shared" si="14"/>
        <v>6.33015516919051E-2</v>
      </c>
      <c r="F111" s="4">
        <f t="shared" si="14"/>
        <v>1.1588931678789827E-3</v>
      </c>
      <c r="G111" s="4">
        <f t="shared" si="14"/>
        <v>1.5538608198284454E-3</v>
      </c>
      <c r="H111" s="7">
        <f t="shared" si="16"/>
        <v>12</v>
      </c>
      <c r="I111" s="7">
        <f t="shared" si="17"/>
        <v>5</v>
      </c>
      <c r="J111" s="7">
        <f t="shared" si="18"/>
        <v>9</v>
      </c>
      <c r="K111" s="3">
        <f t="shared" si="12"/>
        <v>0.46153846153846156</v>
      </c>
      <c r="L111" s="3">
        <f t="shared" si="13"/>
        <v>0.19230769230769232</v>
      </c>
      <c r="M111" s="3">
        <f t="shared" si="15"/>
        <v>0.34615384615384615</v>
      </c>
      <c r="N111" s="3">
        <f t="shared" si="19"/>
        <v>1</v>
      </c>
      <c r="O111">
        <f t="shared" si="20"/>
        <v>1.8013950409106307</v>
      </c>
      <c r="P111" s="4">
        <f>O111/MAX(O$14:O111)-1</f>
        <v>0</v>
      </c>
      <c r="Q111" s="4">
        <f t="shared" si="21"/>
        <v>3.236187831387527E-2</v>
      </c>
    </row>
    <row r="112" spans="1:17" x14ac:dyDescent="0.3">
      <c r="A112" s="2">
        <v>42916</v>
      </c>
      <c r="B112" t="s">
        <v>114</v>
      </c>
      <c r="C112" t="s">
        <v>223</v>
      </c>
      <c r="D112" t="s">
        <v>358</v>
      </c>
      <c r="E112" s="4">
        <f t="shared" si="14"/>
        <v>2.4931429777058867E-2</v>
      </c>
      <c r="F112" s="4">
        <f t="shared" si="14"/>
        <v>8.548074012073581E-4</v>
      </c>
      <c r="G112" s="4">
        <f t="shared" si="14"/>
        <v>7.6144789316945349E-5</v>
      </c>
      <c r="H112" s="7">
        <f t="shared" si="16"/>
        <v>12</v>
      </c>
      <c r="I112" s="7">
        <f t="shared" si="17"/>
        <v>6</v>
      </c>
      <c r="J112" s="7">
        <f t="shared" si="18"/>
        <v>10</v>
      </c>
      <c r="K112" s="3">
        <f t="shared" si="12"/>
        <v>0.42857142857142855</v>
      </c>
      <c r="L112" s="3">
        <f t="shared" si="13"/>
        <v>0.21428571428571427</v>
      </c>
      <c r="M112" s="3">
        <f t="shared" si="15"/>
        <v>0.35714285714285715</v>
      </c>
      <c r="N112" s="3">
        <f t="shared" si="19"/>
        <v>1</v>
      </c>
      <c r="O112">
        <f t="shared" si="20"/>
        <v>1.8224669631505772</v>
      </c>
      <c r="P112" s="4">
        <f>O112/MAX(O$14:O112)-1</f>
        <v>0</v>
      </c>
      <c r="Q112" s="4">
        <f t="shared" si="21"/>
        <v>1.1697557593638219E-2</v>
      </c>
    </row>
    <row r="113" spans="1:17" x14ac:dyDescent="0.3">
      <c r="A113" s="2">
        <v>42947</v>
      </c>
      <c r="B113" t="s">
        <v>115</v>
      </c>
      <c r="C113" t="s">
        <v>224</v>
      </c>
      <c r="D113" t="s">
        <v>359</v>
      </c>
      <c r="E113" s="4">
        <f t="shared" si="14"/>
        <v>7.7881085531958938E-3</v>
      </c>
      <c r="F113" s="4">
        <f t="shared" si="14"/>
        <v>1.6903613814700513E-4</v>
      </c>
      <c r="G113" s="4">
        <f t="shared" si="14"/>
        <v>4.1876445451172195E-4</v>
      </c>
      <c r="H113" s="7">
        <f t="shared" si="16"/>
        <v>12</v>
      </c>
      <c r="I113" s="7">
        <f t="shared" si="17"/>
        <v>7</v>
      </c>
      <c r="J113" s="7">
        <f t="shared" si="18"/>
        <v>10</v>
      </c>
      <c r="K113" s="3">
        <f t="shared" si="12"/>
        <v>0.41379310344827586</v>
      </c>
      <c r="L113" s="3">
        <f t="shared" si="13"/>
        <v>0.2413793103448276</v>
      </c>
      <c r="M113" s="3">
        <f t="shared" si="15"/>
        <v>0.34482758620689657</v>
      </c>
      <c r="N113" s="3">
        <f t="shared" si="19"/>
        <v>1</v>
      </c>
      <c r="O113">
        <f t="shared" si="20"/>
        <v>1.8288885012585974</v>
      </c>
      <c r="P113" s="4">
        <f>O113/MAX(O$14:O113)-1</f>
        <v>0</v>
      </c>
      <c r="Q113" s="4">
        <f t="shared" si="21"/>
        <v>3.5235415718697372E-3</v>
      </c>
    </row>
    <row r="114" spans="1:17" x14ac:dyDescent="0.3">
      <c r="A114" s="2">
        <v>42978</v>
      </c>
      <c r="B114" t="s">
        <v>116</v>
      </c>
      <c r="C114" t="s">
        <v>225</v>
      </c>
      <c r="D114" t="s">
        <v>360</v>
      </c>
      <c r="E114" s="4">
        <f t="shared" si="14"/>
        <v>-2.0664533260706719E-2</v>
      </c>
      <c r="F114" s="4">
        <f t="shared" si="14"/>
        <v>-3.380151395201425E-4</v>
      </c>
      <c r="G114" s="4">
        <f t="shared" si="14"/>
        <v>9.3231222946288383E-4</v>
      </c>
      <c r="H114" s="7">
        <f t="shared" si="16"/>
        <v>10</v>
      </c>
      <c r="I114" s="7">
        <f t="shared" si="17"/>
        <v>6</v>
      </c>
      <c r="J114" s="7">
        <f t="shared" si="18"/>
        <v>11</v>
      </c>
      <c r="K114" s="3">
        <f t="shared" si="12"/>
        <v>0.37037037037037035</v>
      </c>
      <c r="L114" s="3">
        <f t="shared" si="13"/>
        <v>0.22222222222222221</v>
      </c>
      <c r="M114" s="3">
        <f t="shared" si="15"/>
        <v>0.40740740740740738</v>
      </c>
      <c r="N114" s="3">
        <f t="shared" si="19"/>
        <v>1</v>
      </c>
      <c r="O114">
        <f t="shared" si="20"/>
        <v>1.8136887109128887</v>
      </c>
      <c r="P114" s="4">
        <f>O114/MAX(O$14:O114)-1</f>
        <v>-8.310944234844575E-3</v>
      </c>
      <c r="Q114" s="4">
        <f t="shared" si="21"/>
        <v>-8.310944234844575E-3</v>
      </c>
    </row>
    <row r="115" spans="1:17" x14ac:dyDescent="0.3">
      <c r="A115" s="2">
        <v>43007</v>
      </c>
      <c r="B115" t="s">
        <v>117</v>
      </c>
      <c r="C115" t="s">
        <v>226</v>
      </c>
      <c r="D115" t="s">
        <v>346</v>
      </c>
      <c r="E115" s="4">
        <f t="shared" si="14"/>
        <v>2.920012514339354E-2</v>
      </c>
      <c r="F115" s="4">
        <f t="shared" si="14"/>
        <v>-8.6134023829226303E-3</v>
      </c>
      <c r="G115" s="4">
        <f t="shared" si="14"/>
        <v>-1.9864465417771537E-3</v>
      </c>
      <c r="H115" s="7">
        <f t="shared" si="16"/>
        <v>12</v>
      </c>
      <c r="I115" s="7">
        <f t="shared" si="17"/>
        <v>0</v>
      </c>
      <c r="J115" s="7">
        <f t="shared" si="18"/>
        <v>7</v>
      </c>
      <c r="K115" s="3">
        <f t="shared" si="12"/>
        <v>0.63157894736842102</v>
      </c>
      <c r="L115" s="3">
        <f t="shared" si="13"/>
        <v>0</v>
      </c>
      <c r="M115" s="3">
        <f t="shared" si="15"/>
        <v>0.36842105263157893</v>
      </c>
      <c r="N115" s="3">
        <f t="shared" si="19"/>
        <v>1</v>
      </c>
      <c r="O115">
        <f t="shared" si="20"/>
        <v>1.8283641345042678</v>
      </c>
      <c r="P115" s="4">
        <f>O115/MAX(O$14:O115)-1</f>
        <v>-2.8671335292917988E-4</v>
      </c>
      <c r="Q115" s="4">
        <f t="shared" si="21"/>
        <v>8.09147871025373E-3</v>
      </c>
    </row>
    <row r="116" spans="1:17" x14ac:dyDescent="0.3">
      <c r="A116" s="2">
        <v>43039</v>
      </c>
      <c r="B116" t="s">
        <v>118</v>
      </c>
      <c r="C116" t="s">
        <v>227</v>
      </c>
      <c r="D116" t="s">
        <v>361</v>
      </c>
      <c r="E116" s="4">
        <f t="shared" si="14"/>
        <v>5.4480359374472265E-2</v>
      </c>
      <c r="F116" s="4">
        <f t="shared" si="14"/>
        <v>-1.2404074855270841E-2</v>
      </c>
      <c r="G116" s="4">
        <f t="shared" si="14"/>
        <v>-6.7806940687973327E-3</v>
      </c>
      <c r="H116" s="7">
        <f t="shared" si="16"/>
        <v>12</v>
      </c>
      <c r="I116" s="7">
        <f t="shared" si="17"/>
        <v>0</v>
      </c>
      <c r="J116" s="7">
        <f t="shared" si="18"/>
        <v>1</v>
      </c>
      <c r="K116" s="3">
        <f t="shared" si="12"/>
        <v>0.92307692307692313</v>
      </c>
      <c r="L116" s="3">
        <f t="shared" si="13"/>
        <v>0</v>
      </c>
      <c r="M116" s="3">
        <f t="shared" si="15"/>
        <v>7.6923076923076927E-2</v>
      </c>
      <c r="N116" s="3">
        <f t="shared" si="19"/>
        <v>1</v>
      </c>
      <c r="O116">
        <f t="shared" si="20"/>
        <v>1.8867081437929634</v>
      </c>
      <c r="P116" s="4">
        <f>O116/MAX(O$14:O116)-1</f>
        <v>0</v>
      </c>
      <c r="Q116" s="4">
        <f t="shared" si="21"/>
        <v>3.1910497579583419E-2</v>
      </c>
    </row>
    <row r="117" spans="1:17" x14ac:dyDescent="0.3">
      <c r="A117" s="2">
        <v>43069</v>
      </c>
      <c r="B117" t="s">
        <v>119</v>
      </c>
      <c r="C117" t="s">
        <v>228</v>
      </c>
      <c r="D117" t="s">
        <v>362</v>
      </c>
      <c r="E117" s="4">
        <f t="shared" si="14"/>
        <v>-2.6617552850736748E-2</v>
      </c>
      <c r="F117" s="4">
        <f t="shared" si="14"/>
        <v>8.6883026001289831E-3</v>
      </c>
      <c r="G117" s="4">
        <f t="shared" si="14"/>
        <v>3.662792927549674E-3</v>
      </c>
      <c r="H117" s="7">
        <f t="shared" si="16"/>
        <v>11</v>
      </c>
      <c r="I117" s="7">
        <f t="shared" si="17"/>
        <v>1</v>
      </c>
      <c r="J117" s="7">
        <f t="shared" si="18"/>
        <v>5</v>
      </c>
      <c r="K117" s="3">
        <f t="shared" si="12"/>
        <v>0.6470588235294118</v>
      </c>
      <c r="L117" s="3">
        <f t="shared" si="13"/>
        <v>5.8823529411764705E-2</v>
      </c>
      <c r="M117" s="3">
        <f t="shared" si="15"/>
        <v>0.29411764705882354</v>
      </c>
      <c r="N117" s="3">
        <f t="shared" si="19"/>
        <v>1</v>
      </c>
      <c r="O117">
        <f t="shared" si="20"/>
        <v>1.8408832189060049</v>
      </c>
      <c r="P117" s="4">
        <f>O117/MAX(O$14:O117)-1</f>
        <v>-2.4288295483176237E-2</v>
      </c>
      <c r="Q117" s="4">
        <f t="shared" si="21"/>
        <v>-2.4288295483176237E-2</v>
      </c>
    </row>
    <row r="118" spans="1:17" x14ac:dyDescent="0.3">
      <c r="A118" s="2">
        <v>43097</v>
      </c>
      <c r="B118" t="s">
        <v>120</v>
      </c>
      <c r="C118" t="s">
        <v>229</v>
      </c>
      <c r="D118" t="s">
        <v>363</v>
      </c>
      <c r="E118" s="4">
        <f t="shared" si="14"/>
        <v>9.7074599361610669E-3</v>
      </c>
      <c r="F118" s="4">
        <f t="shared" si="14"/>
        <v>5.2257430916569092E-4</v>
      </c>
      <c r="G118" s="4">
        <f t="shared" si="14"/>
        <v>-5.6365477578002032E-4</v>
      </c>
      <c r="H118" s="7">
        <f t="shared" si="16"/>
        <v>11</v>
      </c>
      <c r="I118" s="7">
        <f t="shared" si="17"/>
        <v>2</v>
      </c>
      <c r="J118" s="7">
        <f t="shared" si="18"/>
        <v>4</v>
      </c>
      <c r="K118" s="3">
        <f t="shared" si="12"/>
        <v>0.6470588235294118</v>
      </c>
      <c r="L118" s="3">
        <f t="shared" si="13"/>
        <v>0.11764705882352941</v>
      </c>
      <c r="M118" s="3">
        <f t="shared" si="15"/>
        <v>0.23529411764705882</v>
      </c>
      <c r="N118" s="3">
        <f t="shared" si="19"/>
        <v>1</v>
      </c>
      <c r="O118">
        <f t="shared" si="20"/>
        <v>1.8521977592723531</v>
      </c>
      <c r="P118" s="4">
        <f>O118/MAX(O$14:O118)-1</f>
        <v>-1.8291321121470361E-2</v>
      </c>
      <c r="Q118" s="4">
        <f t="shared" si="21"/>
        <v>6.1462564545904375E-3</v>
      </c>
    </row>
    <row r="119" spans="1:17" x14ac:dyDescent="0.3">
      <c r="A119" s="2">
        <v>43131</v>
      </c>
      <c r="B119" t="s">
        <v>121</v>
      </c>
      <c r="C119" t="s">
        <v>230</v>
      </c>
      <c r="D119" t="s">
        <v>364</v>
      </c>
      <c r="E119" s="4">
        <f t="shared" si="14"/>
        <v>2.7343240776952049E-2</v>
      </c>
      <c r="F119" s="4">
        <f t="shared" si="14"/>
        <v>-2.13333093194773E-2</v>
      </c>
      <c r="G119" s="4">
        <f t="shared" si="14"/>
        <v>-3.1448645031783018E-3</v>
      </c>
      <c r="H119" s="7">
        <f t="shared" si="16"/>
        <v>12</v>
      </c>
      <c r="I119" s="7">
        <f t="shared" si="17"/>
        <v>0</v>
      </c>
      <c r="J119" s="7">
        <f t="shared" si="18"/>
        <v>0</v>
      </c>
      <c r="K119" s="3">
        <f t="shared" si="12"/>
        <v>1</v>
      </c>
      <c r="L119" s="3">
        <f t="shared" si="13"/>
        <v>0</v>
      </c>
      <c r="M119" s="3">
        <f t="shared" si="15"/>
        <v>0</v>
      </c>
      <c r="N119" s="3">
        <f t="shared" si="19"/>
        <v>1</v>
      </c>
      <c r="O119">
        <f t="shared" si="20"/>
        <v>1.8789488959134504</v>
      </c>
      <c r="P119" s="4">
        <f>O119/MAX(O$14:O119)-1</f>
        <v>-4.1125851420316106E-3</v>
      </c>
      <c r="Q119" s="4">
        <f t="shared" si="21"/>
        <v>1.4442915993811978E-2</v>
      </c>
    </row>
    <row r="120" spans="1:17" x14ac:dyDescent="0.3">
      <c r="A120" s="2">
        <v>43159</v>
      </c>
      <c r="B120" t="s">
        <v>122</v>
      </c>
      <c r="C120" t="s">
        <v>231</v>
      </c>
      <c r="D120" t="s">
        <v>365</v>
      </c>
      <c r="E120" s="4">
        <f t="shared" si="14"/>
        <v>-6.0210005392887678E-2</v>
      </c>
      <c r="F120" s="4">
        <f t="shared" si="14"/>
        <v>5.7693369403191141E-3</v>
      </c>
      <c r="G120" s="4">
        <f t="shared" si="14"/>
        <v>3.9602631225668095E-3</v>
      </c>
      <c r="H120" s="7">
        <f t="shared" si="16"/>
        <v>8</v>
      </c>
      <c r="I120" s="7">
        <f t="shared" si="17"/>
        <v>1</v>
      </c>
      <c r="J120" s="7">
        <f t="shared" si="18"/>
        <v>5</v>
      </c>
      <c r="K120" s="3">
        <f t="shared" si="12"/>
        <v>0.5714285714285714</v>
      </c>
      <c r="L120" s="3">
        <f t="shared" si="13"/>
        <v>7.1428571428571425E-2</v>
      </c>
      <c r="M120" s="3">
        <f t="shared" si="15"/>
        <v>0.35714285714285715</v>
      </c>
      <c r="N120" s="3">
        <f t="shared" si="19"/>
        <v>1</v>
      </c>
      <c r="O120">
        <f t="shared" si="20"/>
        <v>1.7658173727575412</v>
      </c>
      <c r="P120" s="4">
        <f>O120/MAX(O$14:O120)-1</f>
        <v>-6.4074971761338806E-2</v>
      </c>
      <c r="Q120" s="4">
        <f t="shared" si="21"/>
        <v>-6.0210005392887678E-2</v>
      </c>
    </row>
    <row r="121" spans="1:17" x14ac:dyDescent="0.3">
      <c r="A121" s="2">
        <v>43189</v>
      </c>
      <c r="B121" t="s">
        <v>123</v>
      </c>
      <c r="C121" t="s">
        <v>232</v>
      </c>
      <c r="D121" t="s">
        <v>366</v>
      </c>
      <c r="E121" s="4">
        <f t="shared" si="14"/>
        <v>9.1476793248945754E-3</v>
      </c>
      <c r="F121" s="4">
        <f t="shared" si="14"/>
        <v>1.1509080096976376E-2</v>
      </c>
      <c r="G121" s="4">
        <f t="shared" si="14"/>
        <v>4.0592555802825281E-3</v>
      </c>
      <c r="H121" s="7">
        <f t="shared" si="16"/>
        <v>8</v>
      </c>
      <c r="I121" s="7">
        <f t="shared" si="17"/>
        <v>3</v>
      </c>
      <c r="J121" s="7">
        <f t="shared" si="18"/>
        <v>11</v>
      </c>
      <c r="K121" s="3">
        <f t="shared" si="12"/>
        <v>0.36363636363636365</v>
      </c>
      <c r="L121" s="3">
        <f t="shared" si="13"/>
        <v>0.13636363636363635</v>
      </c>
      <c r="M121" s="3">
        <f t="shared" si="15"/>
        <v>0.5</v>
      </c>
      <c r="N121" s="3">
        <f t="shared" si="19"/>
        <v>1</v>
      </c>
      <c r="O121">
        <f t="shared" si="20"/>
        <v>1.7790593372060297</v>
      </c>
      <c r="P121" s="4">
        <f>O121/MAX(O$14:O121)-1</f>
        <v>-5.7056416988014225E-2</v>
      </c>
      <c r="Q121" s="4">
        <f t="shared" si="21"/>
        <v>7.4990566141104331E-3</v>
      </c>
    </row>
    <row r="122" spans="1:17" x14ac:dyDescent="0.3">
      <c r="A122" s="2">
        <v>43220</v>
      </c>
      <c r="B122" t="s">
        <v>124</v>
      </c>
      <c r="C122" t="s">
        <v>233</v>
      </c>
      <c r="D122" t="s">
        <v>367</v>
      </c>
      <c r="E122" s="4">
        <f t="shared" si="14"/>
        <v>2.3648648648648685E-2</v>
      </c>
      <c r="F122" s="4">
        <f t="shared" si="14"/>
        <v>-4.1967023326067165E-3</v>
      </c>
      <c r="G122" s="4">
        <f t="shared" si="14"/>
        <v>1.8073893687455822E-3</v>
      </c>
      <c r="H122" s="7">
        <f t="shared" si="16"/>
        <v>9</v>
      </c>
      <c r="I122" s="7">
        <f t="shared" si="17"/>
        <v>3</v>
      </c>
      <c r="J122" s="7">
        <f t="shared" si="18"/>
        <v>12</v>
      </c>
      <c r="K122" s="3">
        <f t="shared" si="12"/>
        <v>0.375</v>
      </c>
      <c r="L122" s="3">
        <f t="shared" si="13"/>
        <v>0.125</v>
      </c>
      <c r="M122" s="3">
        <f t="shared" si="15"/>
        <v>0.5</v>
      </c>
      <c r="N122" s="3">
        <f t="shared" si="19"/>
        <v>1</v>
      </c>
      <c r="O122">
        <f t="shared" si="20"/>
        <v>1.7949479839501816</v>
      </c>
      <c r="P122" s="4">
        <f>O122/MAX(O$14:O122)-1</f>
        <v>-4.8635057915375701E-2</v>
      </c>
      <c r="Q122" s="4">
        <f t="shared" si="21"/>
        <v>8.930925693071412E-3</v>
      </c>
    </row>
    <row r="123" spans="1:17" x14ac:dyDescent="0.3">
      <c r="A123" s="2">
        <v>43251</v>
      </c>
      <c r="B123" t="s">
        <v>125</v>
      </c>
      <c r="C123" t="s">
        <v>234</v>
      </c>
      <c r="D123" t="s">
        <v>368</v>
      </c>
      <c r="E123" s="4">
        <f t="shared" si="14"/>
        <v>-3.5192628173708496E-2</v>
      </c>
      <c r="F123" s="4">
        <f t="shared" si="14"/>
        <v>3.5241010363400438E-3</v>
      </c>
      <c r="G123" s="4">
        <f t="shared" si="14"/>
        <v>2.2124313956359831E-3</v>
      </c>
      <c r="H123" s="7">
        <f t="shared" si="16"/>
        <v>4</v>
      </c>
      <c r="I123" s="7">
        <f t="shared" si="17"/>
        <v>4</v>
      </c>
      <c r="J123" s="7">
        <f t="shared" si="18"/>
        <v>12</v>
      </c>
      <c r="K123" s="3">
        <f t="shared" si="12"/>
        <v>0.2</v>
      </c>
      <c r="L123" s="3">
        <f t="shared" si="13"/>
        <v>0.2</v>
      </c>
      <c r="M123" s="3">
        <f t="shared" si="15"/>
        <v>0.6</v>
      </c>
      <c r="N123" s="3">
        <f t="shared" si="19"/>
        <v>1</v>
      </c>
      <c r="O123">
        <f t="shared" si="20"/>
        <v>1.7740359294717312</v>
      </c>
      <c r="P123" s="4">
        <f>O123/MAX(O$14:O123)-1</f>
        <v>-5.9718942058902935E-2</v>
      </c>
      <c r="Q123" s="4">
        <f t="shared" si="21"/>
        <v>-1.1650507237780161E-2</v>
      </c>
    </row>
    <row r="124" spans="1:17" x14ac:dyDescent="0.3">
      <c r="A124" s="2">
        <v>43280</v>
      </c>
      <c r="B124" t="s">
        <v>126</v>
      </c>
      <c r="C124" t="s">
        <v>235</v>
      </c>
      <c r="D124" t="s">
        <v>369</v>
      </c>
      <c r="E124" s="4">
        <f t="shared" si="14"/>
        <v>-3.4173271015376261E-2</v>
      </c>
      <c r="F124" s="4">
        <f t="shared" si="14"/>
        <v>1.2137174509218251E-2</v>
      </c>
      <c r="G124" s="4">
        <f t="shared" si="14"/>
        <v>4.3014012714714944E-3</v>
      </c>
      <c r="H124" s="7">
        <f t="shared" si="16"/>
        <v>0</v>
      </c>
      <c r="I124" s="7">
        <f t="shared" si="17"/>
        <v>9</v>
      </c>
      <c r="J124" s="7">
        <f t="shared" si="18"/>
        <v>12</v>
      </c>
      <c r="K124" s="3">
        <f t="shared" si="12"/>
        <v>0</v>
      </c>
      <c r="L124" s="3">
        <f t="shared" si="13"/>
        <v>0.42857142857142855</v>
      </c>
      <c r="M124" s="3">
        <f t="shared" si="15"/>
        <v>0.5714285714285714</v>
      </c>
      <c r="N124" s="3">
        <f t="shared" si="19"/>
        <v>1</v>
      </c>
      <c r="O124">
        <f t="shared" si="20"/>
        <v>1.7707958683238845</v>
      </c>
      <c r="P124" s="4">
        <f>O124/MAX(O$14:O124)-1</f>
        <v>-6.1436251203142334E-2</v>
      </c>
      <c r="Q124" s="4">
        <f t="shared" si="21"/>
        <v>-1.8263785383487718E-3</v>
      </c>
    </row>
    <row r="125" spans="1:17" x14ac:dyDescent="0.3">
      <c r="A125" s="2">
        <v>43312</v>
      </c>
      <c r="B125" t="s">
        <v>127</v>
      </c>
      <c r="C125" t="s">
        <v>236</v>
      </c>
      <c r="D125" t="s">
        <v>370</v>
      </c>
      <c r="E125" s="4">
        <f t="shared" si="14"/>
        <v>-5.9964231861696637E-3</v>
      </c>
      <c r="F125" s="4">
        <f t="shared" si="14"/>
        <v>2.8168258396823465E-3</v>
      </c>
      <c r="G125" s="4">
        <f t="shared" si="14"/>
        <v>1.7830020471505392E-3</v>
      </c>
      <c r="H125" s="7">
        <f t="shared" si="16"/>
        <v>0</v>
      </c>
      <c r="I125" s="7">
        <f t="shared" si="17"/>
        <v>10</v>
      </c>
      <c r="J125" s="7">
        <f t="shared" si="18"/>
        <v>12</v>
      </c>
      <c r="K125" s="3">
        <f t="shared" si="12"/>
        <v>0</v>
      </c>
      <c r="L125" s="3">
        <f t="shared" si="13"/>
        <v>0.45454545454545453</v>
      </c>
      <c r="M125" s="3">
        <f t="shared" si="15"/>
        <v>0.54545454545454541</v>
      </c>
      <c r="N125" s="3">
        <f t="shared" si="19"/>
        <v>1</v>
      </c>
      <c r="O125">
        <f t="shared" si="20"/>
        <v>1.7747377827966446</v>
      </c>
      <c r="P125" s="4">
        <f>O125/MAX(O$14:O125)-1</f>
        <v>-5.934694317437883E-2</v>
      </c>
      <c r="Q125" s="4">
        <f t="shared" si="21"/>
        <v>2.226069386807028E-3</v>
      </c>
    </row>
    <row r="126" spans="1:17" x14ac:dyDescent="0.3">
      <c r="A126" s="2">
        <v>43343</v>
      </c>
      <c r="B126" t="s">
        <v>128</v>
      </c>
      <c r="C126" t="s">
        <v>237</v>
      </c>
      <c r="D126" t="s">
        <v>371</v>
      </c>
      <c r="E126" s="4">
        <f t="shared" si="14"/>
        <v>5.7150920764834634E-3</v>
      </c>
      <c r="F126" s="4">
        <f t="shared" si="14"/>
        <v>2.0019082778238495E-2</v>
      </c>
      <c r="G126" s="4">
        <f t="shared" si="14"/>
        <v>7.1569827667388175E-3</v>
      </c>
      <c r="H126" s="7">
        <f t="shared" si="16"/>
        <v>1</v>
      </c>
      <c r="I126" s="7">
        <f t="shared" si="17"/>
        <v>12</v>
      </c>
      <c r="J126" s="7">
        <f t="shared" si="18"/>
        <v>12</v>
      </c>
      <c r="K126" s="3">
        <f t="shared" si="12"/>
        <v>0.04</v>
      </c>
      <c r="L126" s="3">
        <f t="shared" si="13"/>
        <v>0.48</v>
      </c>
      <c r="M126" s="3">
        <f t="shared" si="15"/>
        <v>0.48</v>
      </c>
      <c r="N126" s="3">
        <f t="shared" si="19"/>
        <v>1</v>
      </c>
      <c r="O126">
        <f t="shared" si="20"/>
        <v>1.7978153936401995</v>
      </c>
      <c r="P126" s="4">
        <f>O126/MAX(O$14:O126)-1</f>
        <v>-4.7115262869463992E-2</v>
      </c>
      <c r="Q126" s="4">
        <f t="shared" si="21"/>
        <v>1.3003391862875135E-2</v>
      </c>
    </row>
    <row r="127" spans="1:17" x14ac:dyDescent="0.3">
      <c r="A127" s="2">
        <v>43371</v>
      </c>
      <c r="B127" t="s">
        <v>129</v>
      </c>
      <c r="C127" t="s">
        <v>238</v>
      </c>
      <c r="D127" t="s">
        <v>372</v>
      </c>
      <c r="E127" s="4">
        <f t="shared" si="14"/>
        <v>5.9983162621017883E-3</v>
      </c>
      <c r="F127" s="4">
        <f t="shared" si="14"/>
        <v>-6.294366541944596E-4</v>
      </c>
      <c r="G127" s="4">
        <f t="shared" si="14"/>
        <v>-4.6750818139318362E-5</v>
      </c>
      <c r="H127" s="7">
        <f t="shared" si="16"/>
        <v>3</v>
      </c>
      <c r="I127" s="7">
        <f t="shared" si="17"/>
        <v>11</v>
      </c>
      <c r="J127" s="7">
        <f t="shared" si="18"/>
        <v>11</v>
      </c>
      <c r="K127" s="3">
        <f t="shared" si="12"/>
        <v>0.12</v>
      </c>
      <c r="L127" s="3">
        <f t="shared" si="13"/>
        <v>0.44</v>
      </c>
      <c r="M127" s="3">
        <f t="shared" si="15"/>
        <v>0.44</v>
      </c>
      <c r="N127" s="3">
        <f t="shared" si="19"/>
        <v>1</v>
      </c>
      <c r="O127">
        <f t="shared" si="20"/>
        <v>1.7976632313342376</v>
      </c>
      <c r="P127" s="4">
        <f>O127/MAX(O$14:O127)-1</f>
        <v>-4.7195912495354708E-2</v>
      </c>
      <c r="Q127" s="4">
        <f t="shared" si="21"/>
        <v>-8.4637336236093041E-5</v>
      </c>
    </row>
    <row r="128" spans="1:17" x14ac:dyDescent="0.3">
      <c r="A128" s="2">
        <v>43404</v>
      </c>
      <c r="B128" t="s">
        <v>130</v>
      </c>
      <c r="C128" t="s">
        <v>239</v>
      </c>
      <c r="D128" t="s">
        <v>373</v>
      </c>
      <c r="E128" s="4">
        <f t="shared" si="14"/>
        <v>-0.12172669897834654</v>
      </c>
      <c r="F128" s="4">
        <f t="shared" si="14"/>
        <v>1.0339759963609696E-2</v>
      </c>
      <c r="G128" s="4">
        <f t="shared" si="14"/>
        <v>4.4882883725279044E-3</v>
      </c>
      <c r="H128" s="7">
        <f t="shared" si="16"/>
        <v>0</v>
      </c>
      <c r="I128" s="7">
        <f t="shared" si="17"/>
        <v>12</v>
      </c>
      <c r="J128" s="7">
        <f t="shared" si="18"/>
        <v>12</v>
      </c>
      <c r="K128" s="3">
        <f t="shared" si="12"/>
        <v>0</v>
      </c>
      <c r="L128" s="3">
        <f t="shared" si="13"/>
        <v>0.5</v>
      </c>
      <c r="M128" s="3">
        <f t="shared" si="15"/>
        <v>0.5</v>
      </c>
      <c r="N128" s="3">
        <f t="shared" si="19"/>
        <v>1</v>
      </c>
      <c r="O128">
        <f t="shared" si="20"/>
        <v>1.7831329664172111</v>
      </c>
      <c r="P128" s="4">
        <f>O128/MAX(O$14:O128)-1</f>
        <v>-5.4897297028425829E-2</v>
      </c>
      <c r="Q128" s="4">
        <f t="shared" si="21"/>
        <v>-8.0828626095010847E-3</v>
      </c>
    </row>
    <row r="129" spans="1:17" x14ac:dyDescent="0.3">
      <c r="A129" s="2">
        <v>43434</v>
      </c>
      <c r="B129" t="s">
        <v>131</v>
      </c>
      <c r="C129" t="s">
        <v>240</v>
      </c>
      <c r="D129" t="s">
        <v>374</v>
      </c>
      <c r="E129" s="4">
        <f t="shared" si="14"/>
        <v>2.9974591075115242E-2</v>
      </c>
      <c r="F129" s="4">
        <f t="shared" si="14"/>
        <v>1.3723181353789693E-2</v>
      </c>
      <c r="G129" s="4">
        <f t="shared" si="14"/>
        <v>2.4854549685826566E-3</v>
      </c>
      <c r="H129" s="7">
        <f t="shared" si="16"/>
        <v>1</v>
      </c>
      <c r="I129" s="7">
        <f t="shared" si="17"/>
        <v>12</v>
      </c>
      <c r="J129" s="7">
        <f t="shared" si="18"/>
        <v>12</v>
      </c>
      <c r="K129" s="3">
        <f t="shared" si="12"/>
        <v>0.04</v>
      </c>
      <c r="L129" s="3">
        <f t="shared" si="13"/>
        <v>0.48</v>
      </c>
      <c r="M129" s="3">
        <f t="shared" si="15"/>
        <v>0.48</v>
      </c>
      <c r="N129" s="3">
        <f t="shared" si="19"/>
        <v>1</v>
      </c>
      <c r="O129">
        <f t="shared" si="20"/>
        <v>1.7975840433007559</v>
      </c>
      <c r="P129" s="4">
        <f>O129/MAX(O$14:O129)-1</f>
        <v>-4.7237884028547117E-2</v>
      </c>
      <c r="Q129" s="4">
        <f t="shared" si="21"/>
        <v>8.1043181611861748E-3</v>
      </c>
    </row>
    <row r="130" spans="1:17" x14ac:dyDescent="0.3">
      <c r="A130" s="2">
        <v>43462</v>
      </c>
      <c r="B130" t="s">
        <v>132</v>
      </c>
      <c r="C130" t="s">
        <v>241</v>
      </c>
      <c r="D130" t="s">
        <v>375</v>
      </c>
      <c r="E130" s="4">
        <f t="shared" si="14"/>
        <v>-2.1238869830011997E-2</v>
      </c>
      <c r="F130" s="4">
        <f t="shared" si="14"/>
        <v>1.2794342474996334E-2</v>
      </c>
      <c r="G130" s="4">
        <f t="shared" si="14"/>
        <v>3.4821528061508289E-3</v>
      </c>
      <c r="H130" s="7">
        <f t="shared" si="16"/>
        <v>1</v>
      </c>
      <c r="I130" s="7">
        <f t="shared" si="17"/>
        <v>12</v>
      </c>
      <c r="J130" s="7">
        <f t="shared" si="18"/>
        <v>12</v>
      </c>
      <c r="K130" s="3">
        <f t="shared" si="12"/>
        <v>0.04</v>
      </c>
      <c r="L130" s="3">
        <f t="shared" si="13"/>
        <v>0.48</v>
      </c>
      <c r="M130" s="3">
        <f t="shared" si="15"/>
        <v>0.48</v>
      </c>
      <c r="N130" s="3">
        <f t="shared" si="19"/>
        <v>1</v>
      </c>
      <c r="O130">
        <f t="shared" si="20"/>
        <v>1.8101009138957491</v>
      </c>
      <c r="P130" s="4">
        <f>O130/MAX(O$14:O130)-1</f>
        <v>-4.0603646170311314E-2</v>
      </c>
      <c r="Q130" s="4">
        <f t="shared" si="21"/>
        <v>6.9631629417501451E-3</v>
      </c>
    </row>
    <row r="131" spans="1:17" x14ac:dyDescent="0.3">
      <c r="A131" s="2">
        <v>43496</v>
      </c>
      <c r="B131" t="s">
        <v>133</v>
      </c>
      <c r="C131" t="s">
        <v>242</v>
      </c>
      <c r="D131" t="s">
        <v>376</v>
      </c>
      <c r="E131" s="4">
        <f t="shared" si="14"/>
        <v>9.2666981726527986E-2</v>
      </c>
      <c r="F131" s="4">
        <f t="shared" si="14"/>
        <v>-4.3683220752059881E-3</v>
      </c>
      <c r="G131" s="4">
        <f t="shared" si="14"/>
        <v>2.026520584452296E-3</v>
      </c>
      <c r="H131" s="7">
        <f t="shared" si="16"/>
        <v>3</v>
      </c>
      <c r="I131" s="7">
        <f t="shared" si="17"/>
        <v>11</v>
      </c>
      <c r="J131" s="7">
        <f t="shared" si="18"/>
        <v>12</v>
      </c>
      <c r="K131" s="3">
        <f t="shared" ref="K131:K153" si="22">H131/SUM($H131:$J131)</f>
        <v>0.11538461538461539</v>
      </c>
      <c r="L131" s="3">
        <f t="shared" ref="L131:L153" si="23">I131/SUM($H131:$J131)</f>
        <v>0.42307692307692307</v>
      </c>
      <c r="M131" s="3">
        <f t="shared" si="15"/>
        <v>0.46153846153846156</v>
      </c>
      <c r="N131" s="3">
        <f t="shared" si="19"/>
        <v>1</v>
      </c>
      <c r="O131">
        <f t="shared" si="20"/>
        <v>1.8147757068592787</v>
      </c>
      <c r="P131" s="4">
        <f>O131/MAX(O$14:O131)-1</f>
        <v>-3.8125895184336511E-2</v>
      </c>
      <c r="Q131" s="4">
        <f t="shared" si="21"/>
        <v>2.582614553499285E-3</v>
      </c>
    </row>
    <row r="132" spans="1:17" x14ac:dyDescent="0.3">
      <c r="A132" s="2">
        <v>43524</v>
      </c>
      <c r="B132" t="s">
        <v>134</v>
      </c>
      <c r="C132" t="s">
        <v>243</v>
      </c>
      <c r="D132" t="s">
        <v>377</v>
      </c>
      <c r="E132" s="4">
        <f t="shared" ref="E132:G153" si="24">IFERROR(B132/B131-1,0)</f>
        <v>-5.5865921787709993E-3</v>
      </c>
      <c r="F132" s="4">
        <f t="shared" si="24"/>
        <v>4.5907693350160095E-3</v>
      </c>
      <c r="G132" s="4">
        <f t="shared" si="24"/>
        <v>1.0897068873170213E-3</v>
      </c>
      <c r="H132" s="7">
        <f t="shared" si="16"/>
        <v>3</v>
      </c>
      <c r="I132" s="7">
        <f t="shared" si="17"/>
        <v>12</v>
      </c>
      <c r="J132" s="7">
        <f t="shared" si="18"/>
        <v>12</v>
      </c>
      <c r="K132" s="3">
        <f t="shared" si="22"/>
        <v>0.1111111111111111</v>
      </c>
      <c r="L132" s="3">
        <f t="shared" si="23"/>
        <v>0.44444444444444442</v>
      </c>
      <c r="M132" s="3">
        <f t="shared" si="15"/>
        <v>0.44444444444444442</v>
      </c>
      <c r="N132" s="3">
        <f t="shared" si="19"/>
        <v>1</v>
      </c>
      <c r="O132">
        <f t="shared" si="20"/>
        <v>1.8180433618994596</v>
      </c>
      <c r="P132" s="4">
        <f>O132/MAX(O$14:O132)-1</f>
        <v>-3.6393960623640975E-2</v>
      </c>
      <c r="Q132" s="4">
        <f t="shared" si="21"/>
        <v>1.8005834152563516E-3</v>
      </c>
    </row>
    <row r="133" spans="1:17" x14ac:dyDescent="0.3">
      <c r="A133" s="2">
        <v>43553</v>
      </c>
      <c r="B133" t="s">
        <v>135</v>
      </c>
      <c r="C133" t="s">
        <v>244</v>
      </c>
      <c r="D133" t="s">
        <v>378</v>
      </c>
      <c r="E133" s="4">
        <f t="shared" si="24"/>
        <v>-2.1891989851395399E-2</v>
      </c>
      <c r="F133" s="4">
        <f t="shared" si="24"/>
        <v>1.5775051642004989E-2</v>
      </c>
      <c r="G133" s="4">
        <f t="shared" si="24"/>
        <v>5.3503560754215584E-3</v>
      </c>
      <c r="H133" s="7">
        <f t="shared" si="16"/>
        <v>3</v>
      </c>
      <c r="I133" s="7">
        <f t="shared" si="17"/>
        <v>12</v>
      </c>
      <c r="J133" s="7">
        <f t="shared" si="18"/>
        <v>12</v>
      </c>
      <c r="K133" s="3">
        <f t="shared" si="22"/>
        <v>0.1111111111111111</v>
      </c>
      <c r="L133" s="3">
        <f t="shared" si="23"/>
        <v>0.44444444444444442</v>
      </c>
      <c r="M133" s="3">
        <f t="shared" si="15"/>
        <v>0.44444444444444442</v>
      </c>
      <c r="N133" s="3">
        <f t="shared" si="19"/>
        <v>1</v>
      </c>
      <c r="O133">
        <f t="shared" si="20"/>
        <v>1.8306908110377091</v>
      </c>
      <c r="P133" s="4">
        <f>O133/MAX(O$14:O133)-1</f>
        <v>-2.9690513044926647E-2</v>
      </c>
      <c r="Q133" s="4">
        <f t="shared" si="21"/>
        <v>6.9566267798122361E-3</v>
      </c>
    </row>
    <row r="134" spans="1:17" x14ac:dyDescent="0.3">
      <c r="A134" s="2">
        <v>43585</v>
      </c>
      <c r="B134" t="s">
        <v>136</v>
      </c>
      <c r="C134" t="s">
        <v>245</v>
      </c>
      <c r="D134" t="s">
        <v>379</v>
      </c>
      <c r="E134" s="4">
        <f t="shared" si="24"/>
        <v>2.6717557251908497E-2</v>
      </c>
      <c r="F134" s="4">
        <f t="shared" si="24"/>
        <v>-1.1620571732129381E-4</v>
      </c>
      <c r="G134" s="4">
        <f t="shared" si="24"/>
        <v>1.082727739851741E-3</v>
      </c>
      <c r="H134" s="7">
        <f t="shared" si="16"/>
        <v>5</v>
      </c>
      <c r="I134" s="7">
        <f t="shared" si="17"/>
        <v>11</v>
      </c>
      <c r="J134" s="7">
        <f t="shared" si="18"/>
        <v>12</v>
      </c>
      <c r="K134" s="3">
        <f t="shared" si="22"/>
        <v>0.17857142857142858</v>
      </c>
      <c r="L134" s="3">
        <f t="shared" si="23"/>
        <v>0.39285714285714285</v>
      </c>
      <c r="M134" s="3">
        <f t="shared" si="15"/>
        <v>0.42857142857142855</v>
      </c>
      <c r="N134" s="3">
        <f t="shared" si="19"/>
        <v>1</v>
      </c>
      <c r="O134">
        <f t="shared" si="20"/>
        <v>1.8369118330927861</v>
      </c>
      <c r="P134" s="4">
        <f>O134/MAX(O$14:O134)-1</f>
        <v>-2.6393224020366368E-2</v>
      </c>
      <c r="Q134" s="4">
        <f t="shared" si="21"/>
        <v>3.3981828157811922E-3</v>
      </c>
    </row>
    <row r="135" spans="1:17" x14ac:dyDescent="0.3">
      <c r="A135" s="2">
        <v>43616</v>
      </c>
      <c r="B135" t="s">
        <v>137</v>
      </c>
      <c r="C135" t="s">
        <v>246</v>
      </c>
      <c r="D135" t="s">
        <v>380</v>
      </c>
      <c r="E135" s="4">
        <f t="shared" si="24"/>
        <v>-7.5468293211101933E-2</v>
      </c>
      <c r="F135" s="4">
        <f t="shared" si="24"/>
        <v>1.4436087728910252E-2</v>
      </c>
      <c r="G135" s="4">
        <f t="shared" si="24"/>
        <v>4.3445583032390989E-3</v>
      </c>
      <c r="H135" s="7">
        <f t="shared" si="16"/>
        <v>2</v>
      </c>
      <c r="I135" s="7">
        <f t="shared" si="17"/>
        <v>12</v>
      </c>
      <c r="J135" s="7">
        <f t="shared" si="18"/>
        <v>12</v>
      </c>
      <c r="K135" s="3">
        <f t="shared" si="22"/>
        <v>7.6923076923076927E-2</v>
      </c>
      <c r="L135" s="3">
        <f t="shared" si="23"/>
        <v>0.46153846153846156</v>
      </c>
      <c r="M135" s="3">
        <f t="shared" si="15"/>
        <v>0.46153846153846156</v>
      </c>
      <c r="N135" s="3">
        <f t="shared" si="19"/>
        <v>1</v>
      </c>
      <c r="O135">
        <f t="shared" si="20"/>
        <v>1.8259946854737945</v>
      </c>
      <c r="P135" s="4">
        <f>O135/MAX(O$14:O135)-1</f>
        <v>-3.2179570814335312E-2</v>
      </c>
      <c r="Q135" s="4">
        <f t="shared" si="21"/>
        <v>-5.9432071928081642E-3</v>
      </c>
    </row>
    <row r="136" spans="1:17" x14ac:dyDescent="0.3">
      <c r="A136" s="2">
        <v>43644</v>
      </c>
      <c r="B136" t="s">
        <v>138</v>
      </c>
      <c r="C136" t="s">
        <v>247</v>
      </c>
      <c r="D136" t="s">
        <v>381</v>
      </c>
      <c r="E136" s="4">
        <f t="shared" si="24"/>
        <v>5.6761399125546452E-2</v>
      </c>
      <c r="F136" s="4">
        <f t="shared" si="24"/>
        <v>6.9148370307934304E-3</v>
      </c>
      <c r="G136" s="4">
        <f t="shared" si="24"/>
        <v>3.9424691538292311E-3</v>
      </c>
      <c r="H136" s="7">
        <f t="shared" si="16"/>
        <v>5</v>
      </c>
      <c r="I136" s="7">
        <f t="shared" si="17"/>
        <v>12</v>
      </c>
      <c r="J136" s="7">
        <f t="shared" si="18"/>
        <v>12</v>
      </c>
      <c r="K136" s="3">
        <f t="shared" si="22"/>
        <v>0.17241379310344829</v>
      </c>
      <c r="L136" s="3">
        <f t="shared" si="23"/>
        <v>0.41379310344827586</v>
      </c>
      <c r="M136" s="3">
        <f t="shared" si="15"/>
        <v>0.41379310344827586</v>
      </c>
      <c r="N136" s="3">
        <f t="shared" si="19"/>
        <v>1</v>
      </c>
      <c r="O136">
        <f t="shared" si="20"/>
        <v>1.8431176326655945</v>
      </c>
      <c r="P136" s="4">
        <f>O136/MAX(O$14:O136)-1</f>
        <v>-2.310400327192963E-2</v>
      </c>
      <c r="Q136" s="4">
        <f t="shared" si="21"/>
        <v>9.3773258640985624E-3</v>
      </c>
    </row>
    <row r="137" spans="1:17" x14ac:dyDescent="0.3">
      <c r="A137" s="2">
        <v>43677</v>
      </c>
      <c r="B137" t="s">
        <v>139</v>
      </c>
      <c r="C137" t="s">
        <v>248</v>
      </c>
      <c r="D137" t="s">
        <v>382</v>
      </c>
      <c r="E137" s="4">
        <f t="shared" si="24"/>
        <v>-3.9527151828592566E-2</v>
      </c>
      <c r="F137" s="4">
        <f t="shared" si="24"/>
        <v>1.774133250979304E-2</v>
      </c>
      <c r="G137" s="4">
        <f t="shared" si="24"/>
        <v>6.3086320994836242E-3</v>
      </c>
      <c r="H137" s="7">
        <f t="shared" si="16"/>
        <v>4</v>
      </c>
      <c r="I137" s="7">
        <f t="shared" si="17"/>
        <v>12</v>
      </c>
      <c r="J137" s="7">
        <f t="shared" si="18"/>
        <v>12</v>
      </c>
      <c r="K137" s="3">
        <f t="shared" si="22"/>
        <v>0.14285714285714285</v>
      </c>
      <c r="L137" s="3">
        <f t="shared" si="23"/>
        <v>0.42857142857142855</v>
      </c>
      <c r="M137" s="3">
        <f t="shared" si="15"/>
        <v>0.42857142857142855</v>
      </c>
      <c r="N137" s="3">
        <f t="shared" si="19"/>
        <v>1</v>
      </c>
      <c r="O137">
        <f t="shared" si="20"/>
        <v>1.8488989089936791</v>
      </c>
      <c r="P137" s="4">
        <f>O137/MAX(O$14:O137)-1</f>
        <v>-2.0039789897378646E-2</v>
      </c>
      <c r="Q137" s="4">
        <f t="shared" si="21"/>
        <v>3.1366833161503571E-3</v>
      </c>
    </row>
    <row r="138" spans="1:17" x14ac:dyDescent="0.3">
      <c r="A138" s="2">
        <v>43707</v>
      </c>
      <c r="B138" t="s">
        <v>140</v>
      </c>
      <c r="C138" t="s">
        <v>249</v>
      </c>
      <c r="D138" t="s">
        <v>383</v>
      </c>
      <c r="E138" s="4">
        <f t="shared" si="24"/>
        <v>-2.9038461538461569E-2</v>
      </c>
      <c r="F138" s="4">
        <f t="shared" si="24"/>
        <v>1.0772265210134968E-2</v>
      </c>
      <c r="G138" s="4">
        <f t="shared" si="24"/>
        <v>3.9565680836841643E-3</v>
      </c>
      <c r="H138" s="7">
        <f t="shared" si="16"/>
        <v>1</v>
      </c>
      <c r="I138" s="7">
        <f t="shared" si="17"/>
        <v>12</v>
      </c>
      <c r="J138" s="7">
        <f t="shared" si="18"/>
        <v>12</v>
      </c>
      <c r="K138" s="3">
        <f t="shared" si="22"/>
        <v>0.04</v>
      </c>
      <c r="L138" s="3">
        <f t="shared" si="23"/>
        <v>0.48</v>
      </c>
      <c r="M138" s="3">
        <f t="shared" si="15"/>
        <v>0.48</v>
      </c>
      <c r="N138" s="3">
        <f t="shared" si="19"/>
        <v>1</v>
      </c>
      <c r="O138">
        <f t="shared" si="20"/>
        <v>1.8528999363602163</v>
      </c>
      <c r="P138" s="4">
        <f>O138/MAX(O$14:O138)-1</f>
        <v>-1.7919150634915004E-2</v>
      </c>
      <c r="Q138" s="4">
        <f t="shared" si="21"/>
        <v>2.1640054775708961E-3</v>
      </c>
    </row>
    <row r="139" spans="1:17" x14ac:dyDescent="0.3">
      <c r="A139" s="2">
        <v>43738</v>
      </c>
      <c r="B139" t="s">
        <v>141</v>
      </c>
      <c r="C139" t="s">
        <v>250</v>
      </c>
      <c r="D139" t="s">
        <v>384</v>
      </c>
      <c r="E139" s="4">
        <f t="shared" si="24"/>
        <v>5.8902753020400045E-2</v>
      </c>
      <c r="F139" s="4">
        <f t="shared" si="24"/>
        <v>-1.3201346205501729E-2</v>
      </c>
      <c r="G139" s="4">
        <f t="shared" si="24"/>
        <v>-2.744286485513725E-3</v>
      </c>
      <c r="H139" s="7">
        <f t="shared" si="16"/>
        <v>6</v>
      </c>
      <c r="I139" s="7">
        <f t="shared" si="17"/>
        <v>10</v>
      </c>
      <c r="J139" s="7">
        <f t="shared" si="18"/>
        <v>11</v>
      </c>
      <c r="K139" s="3">
        <f t="shared" si="22"/>
        <v>0.22222222222222221</v>
      </c>
      <c r="L139" s="3">
        <f t="shared" si="23"/>
        <v>0.37037037037037035</v>
      </c>
      <c r="M139" s="3">
        <f t="shared" si="15"/>
        <v>0.40740740740740738</v>
      </c>
      <c r="N139" s="3">
        <f t="shared" si="19"/>
        <v>1</v>
      </c>
      <c r="O139">
        <f t="shared" si="20"/>
        <v>1.843083654989899</v>
      </c>
      <c r="P139" s="4">
        <f>O139/MAX(O$14:O139)-1</f>
        <v>-2.3122012244757406E-2</v>
      </c>
      <c r="Q139" s="4">
        <f t="shared" si="21"/>
        <v>-5.2977935708714563E-3</v>
      </c>
    </row>
    <row r="140" spans="1:17" x14ac:dyDescent="0.3">
      <c r="A140" s="2">
        <v>43769</v>
      </c>
      <c r="B140" t="s">
        <v>142</v>
      </c>
      <c r="C140" t="s">
        <v>251</v>
      </c>
      <c r="D140" t="s">
        <v>385</v>
      </c>
      <c r="E140" s="4">
        <f t="shared" si="24"/>
        <v>1.0511746221756768E-2</v>
      </c>
      <c r="F140" s="4">
        <f t="shared" si="24"/>
        <v>-2.1391915585195376E-2</v>
      </c>
      <c r="G140" s="4">
        <f t="shared" si="24"/>
        <v>-4.5833897234628385E-3</v>
      </c>
      <c r="H140" s="7">
        <f t="shared" si="16"/>
        <v>8</v>
      </c>
      <c r="I140" s="7">
        <f t="shared" si="17"/>
        <v>8</v>
      </c>
      <c r="J140" s="7">
        <f t="shared" si="18"/>
        <v>9</v>
      </c>
      <c r="K140" s="3">
        <f t="shared" si="22"/>
        <v>0.32</v>
      </c>
      <c r="L140" s="3">
        <f t="shared" si="23"/>
        <v>0.32</v>
      </c>
      <c r="M140" s="3">
        <f t="shared" si="15"/>
        <v>0.36</v>
      </c>
      <c r="N140" s="3">
        <f t="shared" si="19"/>
        <v>1</v>
      </c>
      <c r="O140">
        <f t="shared" si="20"/>
        <v>1.829344765683194</v>
      </c>
      <c r="P140" s="4">
        <f>O140/MAX(O$14:O140)-1</f>
        <v>-3.0403948961840066E-2</v>
      </c>
      <c r="Q140" s="4">
        <f t="shared" si="21"/>
        <v>-7.4542950177594047E-3</v>
      </c>
    </row>
    <row r="141" spans="1:17" x14ac:dyDescent="0.3">
      <c r="A141" s="2">
        <v>43798</v>
      </c>
      <c r="B141" t="s">
        <v>143</v>
      </c>
      <c r="C141" t="s">
        <v>252</v>
      </c>
      <c r="D141" t="s">
        <v>386</v>
      </c>
      <c r="E141" s="4">
        <f t="shared" si="24"/>
        <v>2.5543256950357751E-3</v>
      </c>
      <c r="F141" s="4">
        <f t="shared" si="24"/>
        <v>1.0627070806233929E-2</v>
      </c>
      <c r="G141" s="4">
        <f t="shared" si="24"/>
        <v>4.1150398361236018E-3</v>
      </c>
      <c r="H141" s="7">
        <f t="shared" si="16"/>
        <v>9</v>
      </c>
      <c r="I141" s="7">
        <f t="shared" si="17"/>
        <v>9</v>
      </c>
      <c r="J141" s="7">
        <f t="shared" si="18"/>
        <v>10</v>
      </c>
      <c r="K141" s="3">
        <f t="shared" si="22"/>
        <v>0.32142857142857145</v>
      </c>
      <c r="L141" s="3">
        <f t="shared" si="23"/>
        <v>0.32142857142857145</v>
      </c>
      <c r="M141" s="3">
        <f t="shared" si="15"/>
        <v>0.35714285714285715</v>
      </c>
      <c r="N141" s="3">
        <f t="shared" si="19"/>
        <v>1</v>
      </c>
      <c r="O141">
        <f t="shared" si="20"/>
        <v>1.839771045235796</v>
      </c>
      <c r="P141" s="4">
        <f>O141/MAX(O$14:O141)-1</f>
        <v>-2.4877773868515196E-2</v>
      </c>
      <c r="Q141" s="4">
        <f t="shared" si="21"/>
        <v>5.6994612214107399E-3</v>
      </c>
    </row>
    <row r="142" spans="1:17" x14ac:dyDescent="0.3">
      <c r="A142" s="2">
        <v>43829</v>
      </c>
      <c r="B142" t="s">
        <v>144</v>
      </c>
      <c r="C142" t="s">
        <v>253</v>
      </c>
      <c r="D142" t="s">
        <v>387</v>
      </c>
      <c r="E142" s="4">
        <f t="shared" si="24"/>
        <v>7.5363710213425916E-2</v>
      </c>
      <c r="F142" s="4">
        <f t="shared" si="24"/>
        <v>-4.0798484627714293E-3</v>
      </c>
      <c r="G142" s="4">
        <f t="shared" si="24"/>
        <v>1.1193255161083826E-3</v>
      </c>
      <c r="H142" s="7">
        <f t="shared" si="16"/>
        <v>12</v>
      </c>
      <c r="I142" s="7">
        <f t="shared" si="17"/>
        <v>7</v>
      </c>
      <c r="J142" s="7">
        <f t="shared" si="18"/>
        <v>11</v>
      </c>
      <c r="K142" s="3">
        <f t="shared" si="22"/>
        <v>0.4</v>
      </c>
      <c r="L142" s="3">
        <f t="shared" si="23"/>
        <v>0.23333333333333334</v>
      </c>
      <c r="M142" s="3">
        <f t="shared" ref="M142:M153" si="25">J142/SUM($H142:$J142)</f>
        <v>0.36666666666666664</v>
      </c>
      <c r="N142" s="3">
        <f t="shared" si="19"/>
        <v>1</v>
      </c>
      <c r="O142">
        <f t="shared" si="20"/>
        <v>1.8826605770329499</v>
      </c>
      <c r="P142" s="4">
        <f>O142/MAX(O$14:O142)-1</f>
        <v>-2.1453062432201797E-3</v>
      </c>
      <c r="Q142" s="4">
        <f t="shared" si="21"/>
        <v>2.3312428961320464E-2</v>
      </c>
    </row>
    <row r="143" spans="1:17" x14ac:dyDescent="0.3">
      <c r="A143" s="2">
        <v>43861</v>
      </c>
      <c r="B143" t="s">
        <v>145</v>
      </c>
      <c r="C143" t="s">
        <v>254</v>
      </c>
      <c r="D143" t="s">
        <v>388</v>
      </c>
      <c r="E143" s="4">
        <f t="shared" si="24"/>
        <v>-2.9392576314253294E-2</v>
      </c>
      <c r="F143" s="4">
        <f t="shared" si="24"/>
        <v>1.223278875071121E-2</v>
      </c>
      <c r="G143" s="4">
        <f t="shared" si="24"/>
        <v>3.7148911230331372E-3</v>
      </c>
      <c r="H143" s="7">
        <f t="shared" ref="H143:H153" si="26">IFERROR(IF(B143/B142&gt;=1,1,0)+ IF(B143/B141&gt;=1,1,0)+ IF(B143/B140&gt;=1,1,0)+ IF(B143/B139&gt;=1,1,0)+ IF(B143/B138&gt;=1,1,0)+ IF(B143/B137&gt;=1,1,0)+ IF(B143/B136&gt;=1,1,0)+ IF(B143/B135&gt;=1,1,0)+ IF(B143/B134&gt;=1,1,0)+ IF(B143/B133&gt;=1,1,0)+ IF(B143/B132&gt;=1,1,0)+ IF(B143/B131&gt;=1,1,0),0)</f>
        <v>11</v>
      </c>
      <c r="I143" s="7">
        <f t="shared" ref="I143:I153" si="27">IFERROR(IF(C143/C142&gt;=1,1,0)+ IF(C143/C141&gt;=1,1,0)+ IF(C143/C140&gt;=1,1,0)+ IF(C143/C139&gt;=1,1,0)+ IF(C143/C138&gt;=1,1,0)+ IF(C143/C137&gt;=1,1,0)+ IF(C143/C136&gt;=1,1,0)+ IF(C143/C135&gt;=1,1,0)+ IF(C143/C134&gt;=1,1,0)+ IF(C143/C133&gt;=1,1,0)+ IF(C143/C132&gt;=1,1,0)+ IF(C143/C131&gt;=1,1,0),0)</f>
        <v>9</v>
      </c>
      <c r="J143" s="7">
        <f t="shared" ref="J143:J153" si="28">IFERROR(IF(D143/D142&gt;=1,1,0)+ IF(D143/D141&gt;=1,1,0)+ IF(D143/D140&gt;=1,1,0)+ IF(D143/D139&gt;=1,1,0)+ IF(D143/D138&gt;=1,1,0)+ IF(D143/D137&gt;=1,1,0)+ IF(D143/D136&gt;=1,1,0)+ IF(D143/D135&gt;=1,1,0)+ IF(D143/D134&gt;=1,1,0)+ IF(D143/D133&gt;=1,1,0)+ IF(D143/D132&gt;=1,1,0)+ IF(D143/D131&gt;=1,1,0),0)</f>
        <v>12</v>
      </c>
      <c r="K143" s="3">
        <f t="shared" si="22"/>
        <v>0.34375</v>
      </c>
      <c r="L143" s="3">
        <f t="shared" si="23"/>
        <v>0.28125</v>
      </c>
      <c r="M143" s="3">
        <f t="shared" si="25"/>
        <v>0.375</v>
      </c>
      <c r="N143" s="3">
        <f t="shared" ref="N143:N153" si="29">SUM(K143:M143)</f>
        <v>1</v>
      </c>
      <c r="O143">
        <f t="shared" ref="O143:O153" si="30">(1+SUMPRODUCT(K142:M142,E143:G143))*O142</f>
        <v>1.868464212279749</v>
      </c>
      <c r="P143" s="4">
        <f>O143/MAX(O$14:O143)-1</f>
        <v>-9.6697157815502921E-3</v>
      </c>
      <c r="Q143" s="4">
        <f t="shared" si="21"/>
        <v>-7.5405864054232108E-3</v>
      </c>
    </row>
    <row r="144" spans="1:17" x14ac:dyDescent="0.3">
      <c r="A144" s="2">
        <v>43889</v>
      </c>
      <c r="B144" t="s">
        <v>146</v>
      </c>
      <c r="C144" t="s">
        <v>255</v>
      </c>
      <c r="D144" t="s">
        <v>389</v>
      </c>
      <c r="E144" s="4">
        <f t="shared" si="24"/>
        <v>-5.7982806806523457E-2</v>
      </c>
      <c r="F144" s="4">
        <f t="shared" si="24"/>
        <v>1.8388404866101826E-2</v>
      </c>
      <c r="G144" s="4">
        <f t="shared" si="24"/>
        <v>6.5847983686229128E-3</v>
      </c>
      <c r="H144" s="7">
        <f t="shared" si="26"/>
        <v>3</v>
      </c>
      <c r="I144" s="7">
        <f t="shared" si="27"/>
        <v>12</v>
      </c>
      <c r="J144" s="7">
        <f t="shared" si="28"/>
        <v>12</v>
      </c>
      <c r="K144" s="3">
        <f t="shared" si="22"/>
        <v>0.1111111111111111</v>
      </c>
      <c r="L144" s="3">
        <f t="shared" si="23"/>
        <v>0.44444444444444442</v>
      </c>
      <c r="M144" s="3">
        <f t="shared" si="25"/>
        <v>0.44444444444444442</v>
      </c>
      <c r="N144" s="3">
        <f t="shared" si="29"/>
        <v>1</v>
      </c>
      <c r="O144">
        <f t="shared" si="30"/>
        <v>1.845499756497889</v>
      </c>
      <c r="P144" s="4">
        <f>O144/MAX(O$14:O144)-1</f>
        <v>-2.1841421223862789E-2</v>
      </c>
      <c r="Q144" s="4">
        <f t="shared" ref="Q144:Q153" si="31">O144/O143-1</f>
        <v>-1.2290551582917697E-2</v>
      </c>
    </row>
    <row r="145" spans="1:17" x14ac:dyDescent="0.3">
      <c r="A145" s="2">
        <v>43921</v>
      </c>
      <c r="B145" t="s">
        <v>71</v>
      </c>
      <c r="C145" t="s">
        <v>256</v>
      </c>
      <c r="D145" t="s">
        <v>390</v>
      </c>
      <c r="E145" s="4">
        <f t="shared" si="24"/>
        <v>-0.11210004506534477</v>
      </c>
      <c r="F145" s="4">
        <f t="shared" si="24"/>
        <v>-1.6439976345357765E-2</v>
      </c>
      <c r="G145" s="4">
        <f t="shared" si="24"/>
        <v>-9.2815707273541381E-4</v>
      </c>
      <c r="H145" s="7">
        <f t="shared" si="26"/>
        <v>0</v>
      </c>
      <c r="I145" s="7">
        <f t="shared" si="27"/>
        <v>8</v>
      </c>
      <c r="J145" s="7">
        <f t="shared" si="28"/>
        <v>11</v>
      </c>
      <c r="K145" s="3">
        <f t="shared" si="22"/>
        <v>0</v>
      </c>
      <c r="L145" s="3">
        <f t="shared" si="23"/>
        <v>0.42105263157894735</v>
      </c>
      <c r="M145" s="3">
        <f t="shared" si="25"/>
        <v>0.57894736842105265</v>
      </c>
      <c r="N145" s="3">
        <f t="shared" si="29"/>
        <v>1</v>
      </c>
      <c r="O145">
        <f t="shared" si="30"/>
        <v>1.8082672954037611</v>
      </c>
      <c r="P145" s="4">
        <f>O145/MAX(O$14:O145)-1</f>
        <v>-4.1575507397507705E-2</v>
      </c>
      <c r="Q145" s="4">
        <f t="shared" si="31"/>
        <v>-2.0174730970857535E-2</v>
      </c>
    </row>
    <row r="146" spans="1:17" x14ac:dyDescent="0.3">
      <c r="A146" s="2">
        <v>43950</v>
      </c>
      <c r="B146" t="s">
        <v>147</v>
      </c>
      <c r="C146" t="s">
        <v>257</v>
      </c>
      <c r="D146" t="s">
        <v>391</v>
      </c>
      <c r="E146" s="4">
        <f t="shared" si="24"/>
        <v>8.7129382904030717E-2</v>
      </c>
      <c r="F146" s="4">
        <f t="shared" si="24"/>
        <v>5.2509219175886912E-3</v>
      </c>
      <c r="G146" s="4">
        <f t="shared" si="24"/>
        <v>3.9483322316116176E-3</v>
      </c>
      <c r="H146" s="7">
        <f t="shared" si="26"/>
        <v>3</v>
      </c>
      <c r="I146" s="7">
        <f t="shared" si="27"/>
        <v>10</v>
      </c>
      <c r="J146" s="7">
        <f t="shared" si="28"/>
        <v>12</v>
      </c>
      <c r="K146" s="3">
        <f t="shared" si="22"/>
        <v>0.12</v>
      </c>
      <c r="L146" s="3">
        <f t="shared" si="23"/>
        <v>0.4</v>
      </c>
      <c r="M146" s="3">
        <f t="shared" si="25"/>
        <v>0.48</v>
      </c>
      <c r="N146" s="3">
        <f t="shared" si="29"/>
        <v>1</v>
      </c>
      <c r="O146">
        <f t="shared" si="30"/>
        <v>1.8163986955878815</v>
      </c>
      <c r="P146" s="4">
        <f>O146/MAX(O$14:O146)-1</f>
        <v>-3.7265672720177334E-2</v>
      </c>
      <c r="Q146" s="4">
        <f t="shared" si="31"/>
        <v>4.4967910467599292E-3</v>
      </c>
    </row>
    <row r="147" spans="1:17" x14ac:dyDescent="0.3">
      <c r="A147" s="2">
        <v>43980</v>
      </c>
      <c r="B147" t="s">
        <v>148</v>
      </c>
      <c r="C147" t="s">
        <v>258</v>
      </c>
      <c r="D147" t="s">
        <v>392</v>
      </c>
      <c r="E147" s="4">
        <f t="shared" si="24"/>
        <v>3.6805042212971317E-2</v>
      </c>
      <c r="F147" s="4">
        <f t="shared" si="24"/>
        <v>1.3836277363531213E-2</v>
      </c>
      <c r="G147" s="4">
        <f t="shared" si="24"/>
        <v>5.2585685304480378E-3</v>
      </c>
      <c r="H147" s="7">
        <f t="shared" si="26"/>
        <v>6</v>
      </c>
      <c r="I147" s="7">
        <f t="shared" si="27"/>
        <v>12</v>
      </c>
      <c r="J147" s="7">
        <f t="shared" si="28"/>
        <v>12</v>
      </c>
      <c r="K147" s="3">
        <f t="shared" si="22"/>
        <v>0.2</v>
      </c>
      <c r="L147" s="3">
        <f t="shared" si="23"/>
        <v>0.4</v>
      </c>
      <c r="M147" s="3">
        <f t="shared" si="25"/>
        <v>0.4</v>
      </c>
      <c r="N147" s="3">
        <f t="shared" si="29"/>
        <v>1</v>
      </c>
      <c r="O147">
        <f t="shared" si="30"/>
        <v>1.8390586850991446</v>
      </c>
      <c r="P147" s="4">
        <f>O147/MAX(O$14:O147)-1</f>
        <v>-2.5255341612098081E-2</v>
      </c>
      <c r="Q147" s="4">
        <f t="shared" si="31"/>
        <v>1.2475228905584057E-2</v>
      </c>
    </row>
    <row r="148" spans="1:17" x14ac:dyDescent="0.3">
      <c r="A148" s="2">
        <v>44012</v>
      </c>
      <c r="B148" t="s">
        <v>149</v>
      </c>
      <c r="C148" t="s">
        <v>259</v>
      </c>
      <c r="D148" t="s">
        <v>393</v>
      </c>
      <c r="E148" s="4">
        <f t="shared" si="24"/>
        <v>4.8557169124544997E-2</v>
      </c>
      <c r="F148" s="4">
        <f t="shared" si="24"/>
        <v>1.4945331550382246E-3</v>
      </c>
      <c r="G148" s="4">
        <f t="shared" si="24"/>
        <v>6.2843537294532403E-4</v>
      </c>
      <c r="H148" s="7">
        <f t="shared" si="26"/>
        <v>10</v>
      </c>
      <c r="I148" s="7">
        <f t="shared" si="27"/>
        <v>12</v>
      </c>
      <c r="J148" s="7">
        <f t="shared" si="28"/>
        <v>12</v>
      </c>
      <c r="K148" s="3">
        <f t="shared" si="22"/>
        <v>0.29411764705882354</v>
      </c>
      <c r="L148" s="3">
        <f t="shared" si="23"/>
        <v>0.35294117647058826</v>
      </c>
      <c r="M148" s="3">
        <f t="shared" si="25"/>
        <v>0.35294117647058826</v>
      </c>
      <c r="N148" s="3">
        <f t="shared" si="29"/>
        <v>1</v>
      </c>
      <c r="O148">
        <f t="shared" si="30"/>
        <v>1.8584802873034414</v>
      </c>
      <c r="P148" s="4">
        <f>O148/MAX(O$14:O148)-1</f>
        <v>-1.4961432472949343E-2</v>
      </c>
      <c r="Q148" s="4">
        <f t="shared" si="31"/>
        <v>1.0560621236102463E-2</v>
      </c>
    </row>
    <row r="149" spans="1:17" x14ac:dyDescent="0.3">
      <c r="A149" s="2">
        <v>44043</v>
      </c>
      <c r="B149" t="s">
        <v>150</v>
      </c>
      <c r="C149" t="s">
        <v>260</v>
      </c>
      <c r="D149" t="s">
        <v>394</v>
      </c>
      <c r="E149" s="4">
        <f t="shared" si="24"/>
        <v>6.8747092295029066E-2</v>
      </c>
      <c r="F149" s="4">
        <f t="shared" si="24"/>
        <v>9.3072573044297169E-3</v>
      </c>
      <c r="G149" s="4">
        <f t="shared" si="24"/>
        <v>3.3524988942945644E-3</v>
      </c>
      <c r="H149" s="7">
        <f t="shared" si="26"/>
        <v>12</v>
      </c>
      <c r="I149" s="7">
        <f t="shared" si="27"/>
        <v>12</v>
      </c>
      <c r="J149" s="7">
        <f t="shared" si="28"/>
        <v>12</v>
      </c>
      <c r="K149" s="3">
        <f t="shared" si="22"/>
        <v>0.33333333333333331</v>
      </c>
      <c r="L149" s="3">
        <f t="shared" si="23"/>
        <v>0.33333333333333331</v>
      </c>
      <c r="M149" s="3">
        <f t="shared" si="25"/>
        <v>0.33333333333333331</v>
      </c>
      <c r="N149" s="3">
        <f t="shared" si="29"/>
        <v>1</v>
      </c>
      <c r="O149">
        <f t="shared" si="30"/>
        <v>1.9043622298459759</v>
      </c>
      <c r="P149" s="4">
        <f>O149/MAX(O$14:O149)-1</f>
        <v>0</v>
      </c>
      <c r="Q149" s="4">
        <f t="shared" si="31"/>
        <v>2.4687882274558204E-2</v>
      </c>
    </row>
    <row r="150" spans="1:17" x14ac:dyDescent="0.3">
      <c r="A150" s="2">
        <v>44074</v>
      </c>
      <c r="B150" t="s">
        <v>151</v>
      </c>
      <c r="C150" t="s">
        <v>261</v>
      </c>
      <c r="D150" t="s">
        <v>395</v>
      </c>
      <c r="E150" s="4">
        <f t="shared" si="24"/>
        <v>2.6218858826680957E-2</v>
      </c>
      <c r="F150" s="4">
        <f t="shared" si="24"/>
        <v>-1.7119956421929095E-2</v>
      </c>
      <c r="G150" s="4">
        <f t="shared" si="24"/>
        <v>-3.8261820169445127E-3</v>
      </c>
      <c r="H150" s="7">
        <f t="shared" si="26"/>
        <v>12</v>
      </c>
      <c r="I150" s="7">
        <f t="shared" si="27"/>
        <v>7</v>
      </c>
      <c r="J150" s="7">
        <f t="shared" si="28"/>
        <v>10</v>
      </c>
      <c r="K150" s="3">
        <f t="shared" si="22"/>
        <v>0.41379310344827586</v>
      </c>
      <c r="L150" s="3">
        <f t="shared" si="23"/>
        <v>0.2413793103448276</v>
      </c>
      <c r="M150" s="3">
        <f t="shared" si="25"/>
        <v>0.34482758620689657</v>
      </c>
      <c r="N150" s="3">
        <f t="shared" si="29"/>
        <v>1</v>
      </c>
      <c r="O150">
        <f t="shared" si="30"/>
        <v>1.9077092863643357</v>
      </c>
      <c r="P150" s="4">
        <f>O150/MAX(O$14:O150)-1</f>
        <v>0</v>
      </c>
      <c r="Q150" s="4">
        <f t="shared" si="31"/>
        <v>1.7575734626025241E-3</v>
      </c>
    </row>
    <row r="151" spans="1:17" x14ac:dyDescent="0.3">
      <c r="A151" s="2">
        <v>44103</v>
      </c>
      <c r="B151" t="s">
        <v>152</v>
      </c>
      <c r="C151" t="s">
        <v>262</v>
      </c>
      <c r="D151" t="s">
        <v>396</v>
      </c>
      <c r="E151" s="4">
        <f t="shared" si="24"/>
        <v>9.9194048357098552E-3</v>
      </c>
      <c r="F151" s="4">
        <f t="shared" si="24"/>
        <v>8.3527968013934473E-3</v>
      </c>
      <c r="G151" s="4">
        <f t="shared" si="24"/>
        <v>3.8497278640647892E-3</v>
      </c>
      <c r="H151" s="7">
        <f t="shared" si="26"/>
        <v>12</v>
      </c>
      <c r="I151" s="7">
        <f t="shared" si="27"/>
        <v>11</v>
      </c>
      <c r="J151" s="7">
        <f t="shared" si="28"/>
        <v>12</v>
      </c>
      <c r="K151" s="3">
        <f t="shared" si="22"/>
        <v>0.34285714285714286</v>
      </c>
      <c r="L151" s="3">
        <f t="shared" si="23"/>
        <v>0.31428571428571428</v>
      </c>
      <c r="M151" s="3">
        <f t="shared" si="25"/>
        <v>0.34285714285714286</v>
      </c>
      <c r="N151" s="3">
        <f t="shared" si="29"/>
        <v>1</v>
      </c>
      <c r="O151">
        <f t="shared" si="30"/>
        <v>1.9219184125981958</v>
      </c>
      <c r="P151" s="4">
        <f>O151/MAX(O$14:O151)-1</f>
        <v>0</v>
      </c>
      <c r="Q151" s="4">
        <f t="shared" si="31"/>
        <v>7.4482660096180098E-3</v>
      </c>
    </row>
    <row r="152" spans="1:17" x14ac:dyDescent="0.3">
      <c r="A152" s="2">
        <v>44134</v>
      </c>
      <c r="B152" t="s">
        <v>153</v>
      </c>
      <c r="C152" t="s">
        <v>263</v>
      </c>
      <c r="D152" t="s">
        <v>397</v>
      </c>
      <c r="E152" s="4">
        <f t="shared" si="24"/>
        <v>-2.5071887822687433E-2</v>
      </c>
      <c r="F152" s="4">
        <f t="shared" si="24"/>
        <v>-7.9695351758793942E-3</v>
      </c>
      <c r="G152" s="4">
        <f t="shared" si="24"/>
        <v>-1.8513620735255421E-3</v>
      </c>
      <c r="H152" s="7">
        <f t="shared" si="26"/>
        <v>10</v>
      </c>
      <c r="I152" s="7">
        <f t="shared" si="27"/>
        <v>7</v>
      </c>
      <c r="J152" s="7">
        <f t="shared" si="28"/>
        <v>10</v>
      </c>
      <c r="K152" s="3">
        <f t="shared" si="22"/>
        <v>0.37037037037037035</v>
      </c>
      <c r="L152" s="3">
        <f t="shared" si="23"/>
        <v>0.25925925925925924</v>
      </c>
      <c r="M152" s="3">
        <f t="shared" si="25"/>
        <v>0.37037037037037035</v>
      </c>
      <c r="N152" s="3">
        <f t="shared" si="29"/>
        <v>0.99999999999999989</v>
      </c>
      <c r="O152">
        <f t="shared" si="30"/>
        <v>1.8993636629762456</v>
      </c>
      <c r="P152" s="4">
        <f>O152/MAX(O$14:O152)-1</f>
        <v>-1.1735539591120836E-2</v>
      </c>
      <c r="Q152" s="4">
        <f t="shared" si="31"/>
        <v>-1.1735539591120836E-2</v>
      </c>
    </row>
    <row r="153" spans="1:17" x14ac:dyDescent="0.3">
      <c r="A153" s="2">
        <v>44155</v>
      </c>
      <c r="B153" t="s">
        <v>154</v>
      </c>
      <c r="C153" t="s">
        <v>264</v>
      </c>
      <c r="D153" t="s">
        <v>398</v>
      </c>
      <c r="E153" s="4">
        <f t="shared" si="24"/>
        <v>0.13057166528583264</v>
      </c>
      <c r="F153" s="4">
        <f t="shared" si="24"/>
        <v>-4.0761407257905446E-3</v>
      </c>
      <c r="G153" s="4">
        <f t="shared" si="24"/>
        <v>-4.4161808867693164E-4</v>
      </c>
      <c r="H153" s="7">
        <f t="shared" si="26"/>
        <v>12</v>
      </c>
      <c r="I153" s="7">
        <f t="shared" si="27"/>
        <v>5</v>
      </c>
      <c r="J153" s="7">
        <f t="shared" si="28"/>
        <v>9</v>
      </c>
      <c r="K153" s="3">
        <f t="shared" si="22"/>
        <v>0.46153846153846156</v>
      </c>
      <c r="L153" s="3">
        <f t="shared" si="23"/>
        <v>0.19230769230769232</v>
      </c>
      <c r="M153" s="3">
        <f t="shared" si="25"/>
        <v>0.34615384615384615</v>
      </c>
      <c r="N153" s="3">
        <f t="shared" si="29"/>
        <v>1</v>
      </c>
      <c r="O153">
        <f t="shared" si="30"/>
        <v>1.9888987857917422</v>
      </c>
      <c r="P153" s="4">
        <f>O153/MAX(O$14:O153)-1</f>
        <v>0</v>
      </c>
      <c r="Q153" s="4">
        <f t="shared" si="31"/>
        <v>4.7139536551519479E-2</v>
      </c>
    </row>
  </sheetData>
  <mergeCells count="3">
    <mergeCell ref="E1:G1"/>
    <mergeCell ref="H1:J1"/>
    <mergeCell ref="K1:M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check</vt:lpstr>
      <vt:lpstr>평균모멘텀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최열진</cp:lastModifiedBy>
  <dcterms:created xsi:type="dcterms:W3CDTF">2020-11-20T00:35:21Z</dcterms:created>
  <dcterms:modified xsi:type="dcterms:W3CDTF">2020-11-25T04:59:41Z</dcterms:modified>
</cp:coreProperties>
</file>